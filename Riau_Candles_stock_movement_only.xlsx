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KA" sheetId="2" r:id="rId5"/>
    <sheet name="PP" sheetId="3" r:id="rId6"/>
    <sheet name="Online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<sst xmlns="http://schemas.openxmlformats.org/spreadsheetml/2006/main" count="1" uniqueCount="1">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</sst>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8">
    <numFmt numFmtId="164" formatCode="[$$]#,##0.00"/>
    <numFmt numFmtId="165" formatCode="[$$]#,##0.00"/>
    <numFmt numFmtId="166" formatCode="[$$]#,##0.00"/>
    <numFmt numFmtId="167" formatCode="[$$]#,##0.00"/>
    <numFmt numFmtId="168" formatCode="[$$]#,##0.00"/>
    <numFmt numFmtId="169" formatCode="[$$]#,##0.00"/>
    <numFmt numFmtId="170" formatCode="[$$]#,##0.00"/>
    <numFmt numFmtId="171" formatCode="[$$]#,##0.00"/>
    <numFmt numFmtId="172" formatCode="[$$]#,##0.00"/>
    <numFmt numFmtId="173" formatCode="[$$]#,##0.00"/>
    <numFmt numFmtId="174" formatCode="[$$]#,##0.00"/>
    <numFmt numFmtId="175" formatCode="mmm d"/>
    <numFmt numFmtId="176" formatCode="[$$]#,##0.00"/>
    <numFmt numFmtId="177" formatCode="[$$]#,##0.00"/>
    <numFmt numFmtId="178" formatCode="[$$]#,##0.00"/>
    <numFmt numFmtId="179" formatCode="[$$]#,##0.00"/>
    <numFmt numFmtId="180" formatCode="[$$]#,##0.00"/>
    <numFmt numFmtId="181" formatCode="[$$]#,##0.00"/>
    <numFmt numFmtId="182" formatCode="[$$]#,##0.00"/>
    <numFmt numFmtId="183" formatCode="[$$]#,##0.00"/>
    <numFmt numFmtId="184" formatCode="[$$]#,##0.00"/>
    <numFmt numFmtId="185" formatCode="[$$]#,##0.00"/>
    <numFmt numFmtId="186" formatCode="[$$]#,##0.00"/>
    <numFmt numFmtId="187" formatCode="[$$]#,##0.00"/>
    <numFmt numFmtId="188" formatCode="[$$]#,##0.00"/>
    <numFmt numFmtId="189" formatCode="[$$]#,##0.00"/>
    <numFmt numFmtId="190" formatCode="dd/mm/yy"/>
    <numFmt numFmtId="191" formatCode="[$$]#,##0.00"/>
  </numFmts>
  <fonts count="6"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color rgb="FF6AA84F"/>
      <name val="Calibri"/>
      <family val="2"/>
    </font>
    <font>
      <sz val="10"/>
      <color rgb="FFFF00FF"/>
      <name val="Calibri"/>
      <family val="2"/>
    </font>
  </fonts>
  <fills count="3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CFE2F3"/>
        <bgColor/>
      </patternFill>
    </fill>
    <fill>
      <patternFill patternType="solid">
        <fgColor rgb="FFEAD1DC"/>
        <bgColor/>
      </patternFill>
    </fill>
    <fill>
      <patternFill patternType="solid">
        <fgColor rgb="FFEAD1DC"/>
        <bgColor/>
      </patternFill>
    </fill>
    <fill>
      <patternFill patternType="solid">
        <fgColor rgb="FFEAD1DC"/>
        <bgColor/>
      </patternFill>
    </fill>
    <fill>
      <patternFill patternType="solid">
        <fgColor rgb="FFEAD1DC"/>
        <bgColor/>
      </patternFill>
    </fill>
    <fill>
      <patternFill patternType="solid">
        <fgColor rgb="FFEAD1DC"/>
        <bgColor/>
      </patternFill>
    </fill>
    <fill>
      <patternFill patternType="solid">
        <fgColor rgb="FFCFE2F3"/>
        <bgColor/>
      </patternFill>
    </fill>
    <fill>
      <patternFill patternType="solid">
        <fgColor rgb="FFEAD1DC"/>
        <bgColor/>
      </patternFill>
    </fill>
    <fill>
      <patternFill patternType="solid">
        <fgColor rgb="FFEAD1D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EAD1DC"/>
        <bgColor/>
      </patternFill>
    </fill>
    <fill>
      <patternFill patternType="solid">
        <fgColor rgb="FFEAD1D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CFE2F3"/>
        <bgColor/>
      </patternFill>
    </fill>
    <fill>
      <patternFill patternType="solid">
        <fgColor rgb="FFCFE2F3"/>
        <bgColor/>
      </patternFill>
    </fill>
    <fill>
      <patternFill patternType="solid">
        <fgColor rgb="FFEAD1DC"/>
        <bgColor/>
      </patternFill>
    </fill>
    <fill>
      <patternFill patternType="solid">
        <fgColor rgb="FFEAD1DC"/>
        <bgColor/>
      </patternFill>
    </fill>
    <fill>
      <patternFill patternType="solid">
        <fgColor rgb="FFEAD1DC"/>
        <bgColor/>
      </patternFill>
    </fill>
    <fill>
      <patternFill patternType="solid">
        <fgColor rgb="FFEAD1DC"/>
        <bgColor/>
      </patternFill>
    </fill>
    <fill>
      <patternFill patternType="solid">
        <fgColor rgb="FFEAD1DC"/>
        <bgColor/>
      </patternFill>
    </fill>
    <fill>
      <patternFill patternType="solid">
        <fgColor rgb="FFEAD1DC"/>
        <bgColor/>
      </patternFill>
    </fill>
    <fill>
      <patternFill patternType="solid">
        <fgColor rgb="FFEAD1DC"/>
        <bgColor/>
      </patternFill>
    </fill>
    <fill>
      <patternFill patternType="solid">
        <fgColor rgb="FFCFE2F3"/>
        <bgColor/>
      </patternFill>
    </fill>
    <fill>
      <patternFill patternType="solid">
        <fgColor rgb="FFCFE2F3"/>
        <bgColor/>
      </patternFill>
    </fill>
    <fill>
      <patternFill patternType="solid">
        <fgColor rgb="FFCFE2F3"/>
        <bgColor/>
      </patternFill>
    </fill>
  </fills>
  <borders count="9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true" applyProtection="false" borderId="5" fillId="0" fontId="1" numFmtId="164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false" applyFont="true" applyNumberFormat="false" applyProtection="false" borderId="7" fillId="0" fontId="1" numFmtId="0" xfId="0">
      <alignment horizontal="left" vertical="center"/>
    </xf>
    <xf applyAlignment="true" applyBorder="false" applyFill="false" applyFont="true" applyNumberFormat="false" applyProtection="false" borderId="8" fillId="0" fontId="3" numFmtId="0" xfId="0">
      <alignment vertical="center"/>
    </xf>
    <xf applyAlignment="true" applyBorder="false" applyFill="true" applyFont="true" applyNumberFormat="false" applyProtection="false" borderId="9" fillId="2" fontId="1" numFmtId="0" xfId="0">
      <alignment horizontal="left" vertical="center"/>
    </xf>
    <xf applyAlignment="true" applyBorder="false" applyFill="false" applyFont="true" applyNumberFormat="false" applyProtection="false" borderId="10" fillId="0" fontId="2" numFmtId="0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false" applyProtection="false" borderId="12" fillId="0" fontId="1" numFmtId="0" xfId="0">
      <alignment horizontal="left" vertical="center"/>
    </xf>
    <xf applyAlignment="true" applyBorder="false" applyFill="false" applyFont="true" applyNumberFormat="false" applyProtection="false" borderId="13" fillId="0" fontId="1" numFmtId="0" xfId="0">
      <alignment vertical="center"/>
    </xf>
    <xf applyAlignment="true" applyBorder="false" applyFill="false" applyFont="true" applyNumberFormat="false" applyProtection="false" borderId="14" fillId="0" fontId="1" numFmtId="0" xfId="0">
      <alignment horizontal="center" vertical="center" wrapText="true"/>
    </xf>
    <xf applyAlignment="true" applyBorder="false" applyFill="false" applyFont="true" applyNumberFormat="true" applyProtection="false" borderId="15" fillId="0" fontId="1" numFmtId="165" xfId="0">
      <alignment horizontal="center" vertical="center"/>
    </xf>
    <xf applyAlignment="true" applyBorder="false" applyFill="true" applyFont="true" applyNumberFormat="false" applyProtection="false" borderId="16" fillId="3" fontId="2" numFmtId="0" xfId="0">
      <alignment horizontal="center" vertical="center"/>
    </xf>
    <xf applyAlignment="true" applyBorder="false" applyFill="true" applyFont="true" applyNumberFormat="false" applyProtection="false" borderId="17" fillId="4" fontId="2" numFmtId="0" xfId="0">
      <alignment horizontal="left" vertical="center"/>
    </xf>
    <xf applyAlignment="true" applyBorder="false" applyFill="true" applyFont="true" applyNumberFormat="false" applyProtection="false" borderId="18" fillId="5" fontId="1" numFmtId="0" xfId="0">
      <alignment vertical="center"/>
    </xf>
    <xf applyAlignment="true" applyBorder="false" applyFill="true" applyFont="true" applyNumberFormat="false" applyProtection="false" borderId="19" fillId="6" fontId="1" numFmtId="0" xfId="0">
      <alignment horizontal="center" vertical="center"/>
    </xf>
    <xf applyAlignment="true" applyBorder="false" applyFill="true" applyFont="true" applyNumberFormat="false" applyProtection="false" borderId="20" fillId="7" fontId="1" numFmtId="0" xfId="0">
      <alignment vertical="center"/>
    </xf>
    <xf applyAlignment="true" applyBorder="false" applyFill="false" applyFont="true" applyNumberFormat="false" applyProtection="false" borderId="21" fillId="0" fontId="2" numFmtId="0" xfId="0">
      <alignment horizontal="center" vertical="center"/>
    </xf>
    <xf applyAlignment="true" applyBorder="false" applyFill="false" applyFont="true" applyNumberFormat="false" applyProtection="false" borderId="22" fillId="0" fontId="4" numFmtId="0" xfId="0">
      <alignment vertical="center"/>
    </xf>
    <xf applyAlignment="true" applyBorder="false" applyFill="false" applyFont="true" applyNumberFormat="false" applyProtection="false" borderId="23" fillId="0" fontId="1" numFmtId="0" xfId="0">
      <alignment vertical="center" wrapText="true"/>
    </xf>
    <xf applyAlignment="true" applyBorder="false" applyFill="false" applyFont="true" applyNumberFormat="false" applyProtection="false" borderId="24" fillId="0" fontId="2" numFmtId="0" xfId="0">
      <alignment horizontal="center" vertical="center" wrapText="true"/>
    </xf>
    <xf applyAlignment="true" applyBorder="false" applyFill="false" applyFont="true" applyNumberFormat="false" applyProtection="false" borderId="25" fillId="0" fontId="1" numFmtId="0" xfId="0">
      <alignment horizontal="left" vertical="center" wrapText="true"/>
    </xf>
    <xf applyAlignment="true" applyBorder="false" applyFill="false" applyFont="true" applyNumberFormat="true" applyProtection="false" borderId="26" fillId="0" fontId="1" numFmtId="166" xfId="0">
      <alignment horizontal="center" vertical="center" wrapText="true"/>
    </xf>
    <xf applyAlignment="true" applyBorder="false" applyFill="false" applyFont="true" applyNumberFormat="false" applyProtection="false" borderId="27" fillId="0" fontId="2" numFmtId="0" xfId="0">
      <alignment horizontal="center" vertical="center" wrapText="true"/>
    </xf>
    <xf applyAlignment="true" applyBorder="false" applyFill="false" applyFont="true" applyNumberFormat="true" applyProtection="false" borderId="28" fillId="0" fontId="2" numFmtId="167" xfId="0">
      <alignment horizontal="center" vertical="center" wrapText="true"/>
    </xf>
    <xf applyAlignment="true" applyBorder="false" applyFill="false" applyFont="true" applyNumberFormat="false" applyProtection="false" borderId="29" fillId="0" fontId="2" numFmtId="0" xfId="0">
      <alignment vertical="center" wrapText="true"/>
    </xf>
    <xf applyAlignment="true" applyBorder="false" applyFill="false" applyFont="true" applyNumberFormat="false" applyProtection="false" borderId="30" fillId="0" fontId="2" numFmtId="0" xfId="0">
      <alignment horizontal="left" vertical="center" wrapText="true"/>
    </xf>
    <xf applyAlignment="true" applyBorder="false" applyFill="false" applyFont="true" applyNumberFormat="false" applyProtection="false" borderId="31" fillId="0" fontId="3" numFmtId="0" xfId="0">
      <alignment vertical="center"/>
    </xf>
    <xf applyAlignment="true" applyBorder="false" applyFill="true" applyFont="true" applyNumberFormat="false" applyProtection="false" borderId="32" fillId="8" fontId="1" numFmtId="0" xfId="0">
      <alignment horizontal="left" vertical="center"/>
    </xf>
    <xf applyAlignment="true" applyBorder="false" applyFill="false" applyFont="true" applyNumberFormat="true" applyProtection="false" borderId="33" fillId="0" fontId="1" numFmtId="168" xfId="0">
      <alignment horizontal="center" vertical="center"/>
    </xf>
    <xf applyAlignment="true" applyBorder="false" applyFill="false" applyFont="true" applyNumberFormat="false" applyProtection="false" borderId="34" fillId="0" fontId="2" numFmtId="0" xfId="0">
      <alignment vertical="center" wrapText="true"/>
    </xf>
    <xf applyAlignment="true" applyBorder="false" applyFill="false" applyFont="true" applyNumberFormat="false" applyProtection="false" borderId="35" fillId="0" fontId="2" numFmtId="0" xfId="0">
      <alignment horizontal="left" vertical="center" wrapText="true"/>
    </xf>
    <xf applyAlignment="true" applyBorder="false" applyFill="false" applyFont="true" applyNumberFormat="true" applyProtection="false" borderId="36" fillId="0" fontId="2" numFmtId="169" xfId="0">
      <alignment horizontal="center" vertical="center" wrapText="true"/>
    </xf>
    <xf applyAlignment="true" applyBorder="false" applyFill="false" applyFont="true" applyNumberFormat="true" applyProtection="false" borderId="37" fillId="0" fontId="2" numFmtId="170" xfId="0">
      <alignment horizontal="center" vertical="center"/>
    </xf>
    <xf applyAlignment="true" applyBorder="false" applyFill="false" applyFont="true" applyNumberFormat="true" applyProtection="false" borderId="38" fillId="0" fontId="1" numFmtId="171" xfId="0">
      <alignment horizontal="right" vertical="center"/>
    </xf>
    <xf applyAlignment="true" applyBorder="false" applyFill="false" applyFont="true" applyNumberFormat="true" applyProtection="false" borderId="39" fillId="0" fontId="1" numFmtId="172" xfId="0">
      <alignment vertical="center"/>
    </xf>
    <xf applyAlignment="true" applyBorder="false" applyFill="false" applyFont="true" applyNumberFormat="true" applyProtection="false" borderId="40" fillId="0" fontId="1" numFmtId="173" xfId="0">
      <alignment horizontal="left" vertical="center"/>
    </xf>
    <xf applyAlignment="true" applyBorder="false" applyFill="false" applyFont="true" applyNumberFormat="true" applyProtection="false" borderId="41" fillId="0" fontId="1" numFmtId="174" xfId="0">
      <alignment vertical="center"/>
    </xf>
    <xf applyAlignment="true" applyBorder="false" applyFill="true" applyFont="true" applyNumberFormat="false" applyProtection="false" borderId="42" fillId="9" fontId="2" numFmtId="0" xfId="0">
      <alignment vertical="center"/>
    </xf>
    <xf applyAlignment="true" applyBorder="false" applyFill="true" applyFont="true" applyNumberFormat="false" applyProtection="false" borderId="43" fillId="10" fontId="2" numFmtId="0" xfId="0">
      <alignment vertical="center"/>
    </xf>
    <xf applyAlignment="true" applyBorder="false" applyFill="true" applyFont="true" applyNumberFormat="true" applyProtection="false" borderId="44" fillId="11" fontId="2" numFmtId="175" xfId="0">
      <alignment horizontal="center" vertical="center" wrapText="true"/>
    </xf>
    <xf applyAlignment="true" applyBorder="false" applyFill="true" applyFont="true" applyNumberFormat="false" applyProtection="false" borderId="45" fillId="12" fontId="1" numFmtId="0" xfId="0">
      <alignment horizontal="center" vertical="center"/>
    </xf>
    <xf applyAlignment="true" applyBorder="false" applyFill="false" applyFont="true" applyNumberFormat="false" applyProtection="false" borderId="46" fillId="0" fontId="5" numFmtId="0" xfId="0">
      <alignment vertical="center"/>
    </xf>
    <xf applyAlignment="true" applyBorder="false" applyFill="true" applyFont="true" applyNumberFormat="false" applyProtection="false" borderId="47" fillId="13" fontId="2" numFmtId="0" xfId="0">
      <alignment horizontal="center" vertical="center"/>
    </xf>
    <xf applyAlignment="true" applyBorder="false" applyFill="true" applyFont="true" applyNumberFormat="false" applyProtection="false" borderId="48" fillId="14" fontId="2" numFmtId="0" xfId="0">
      <alignment horizontal="center" vertical="center"/>
    </xf>
    <xf applyAlignment="true" applyBorder="false" applyFill="true" applyFont="true" applyNumberFormat="false" applyProtection="false" borderId="49" fillId="15" fontId="1" numFmtId="0" xfId="0">
      <alignment horizontal="center" vertical="center"/>
    </xf>
    <xf applyAlignment="true" applyBorder="false" applyFill="true" applyFont="true" applyNumberFormat="false" applyProtection="false" borderId="50" fillId="16" fontId="1" numFmtId="0" xfId="0">
      <alignment horizontal="center" vertical="center" wrapText="true"/>
    </xf>
    <xf applyAlignment="true" applyBorder="false" applyFill="true" applyFont="true" applyNumberFormat="false" applyProtection="false" borderId="51" fillId="17" fontId="2" numFmtId="0" xfId="0">
      <alignment horizontal="center" vertical="center" wrapText="true"/>
    </xf>
    <xf applyAlignment="true" applyBorder="false" applyFill="false" applyFont="true" applyNumberFormat="false" applyProtection="false" borderId="52" fillId="0" fontId="1" numFmtId="0" xfId="0">
      <alignment horizontal="center" vertical="bottom"/>
    </xf>
    <xf applyAlignment="true" applyBorder="false" applyFill="false" applyFont="true" applyNumberFormat="false" applyProtection="false" borderId="53" fillId="0" fontId="2" numFmtId="0" xfId="0">
      <alignment horizontal="center" vertical="bottom"/>
    </xf>
    <xf applyAlignment="true" applyBorder="false" applyFill="false" applyFont="true" applyNumberFormat="false" applyProtection="false" borderId="54" fillId="0" fontId="1" numFmtId="0" xfId="0">
      <alignment horizontal="center" vertical="bottom" wrapText="true"/>
    </xf>
    <xf applyAlignment="true" applyBorder="false" applyFill="false" applyFont="true" applyNumberFormat="true" applyProtection="false" borderId="55" fillId="0" fontId="1" numFmtId="176" xfId="0">
      <alignment horizontal="center" vertical="bottom" wrapText="true"/>
    </xf>
    <xf applyAlignment="true" applyBorder="false" applyFill="false" applyFont="true" applyNumberFormat="true" applyProtection="false" borderId="56" fillId="0" fontId="1" numFmtId="177" xfId="0">
      <alignment horizontal="center" vertical="bottom"/>
    </xf>
    <xf applyAlignment="true" applyBorder="false" applyFill="false" applyFont="true" applyNumberFormat="false" applyProtection="false" borderId="57" fillId="0" fontId="1" numFmtId="0" xfId="0">
      <alignment vertical="bottom" wrapText="true"/>
    </xf>
    <xf applyAlignment="true" applyBorder="false" applyFill="false" applyFont="true" applyNumberFormat="false" applyProtection="false" borderId="58" fillId="0" fontId="1" numFmtId="0" xfId="0">
      <alignment horizontal="center" vertical="bottom"/>
    </xf>
    <xf applyAlignment="true" applyBorder="false" applyFill="false" applyFont="true" applyNumberFormat="false" applyProtection="false" borderId="59" fillId="0" fontId="1" numFmtId="0" xfId="0">
      <alignment horizontal="left" vertical="bottom"/>
    </xf>
    <xf applyAlignment="true" applyBorder="false" applyFill="true" applyFont="true" applyNumberFormat="false" applyProtection="false" borderId="60" fillId="18" fontId="1" numFmtId="0" xfId="0">
      <alignment horizontal="center" vertical="bottom"/>
    </xf>
    <xf applyAlignment="true" applyBorder="false" applyFill="false" applyFont="true" applyNumberFormat="false" applyProtection="false" borderId="61" fillId="0" fontId="1" numFmtId="0" xfId="0">
      <alignment horizontal="center" vertical="bottom" wrapText="true"/>
    </xf>
    <xf applyAlignment="true" applyBorder="false" applyFill="false" applyFont="true" applyNumberFormat="true" applyProtection="false" borderId="62" fillId="0" fontId="2" numFmtId="178" xfId="0">
      <alignment horizontal="center" vertical="bottom"/>
    </xf>
    <xf applyAlignment="true" applyBorder="false" applyFill="false" applyFont="true" applyNumberFormat="false" applyProtection="false" borderId="63" fillId="0" fontId="1" numFmtId="0" xfId="0">
      <alignment horizontal="center" vertical="bottom"/>
    </xf>
    <xf applyAlignment="true" applyBorder="false" applyFill="false" applyFont="true" applyNumberFormat="false" applyProtection="false" borderId="64" fillId="0" fontId="1" numFmtId="0" xfId="0">
      <alignment horizontal="left" vertical="bottom"/>
    </xf>
    <xf applyAlignment="true" applyBorder="false" applyFill="false" applyFont="true" applyNumberFormat="false" applyProtection="false" borderId="65" fillId="0" fontId="1" numFmtId="0" xfId="0">
      <alignment vertical="bottom"/>
    </xf>
    <xf applyAlignment="true" applyBorder="false" applyFill="false" applyFont="true" applyNumberFormat="true" applyProtection="false" borderId="66" fillId="0" fontId="1" numFmtId="179" xfId="0">
      <alignment horizontal="center" vertical="bottom"/>
    </xf>
    <xf applyAlignment="true" applyBorder="false" applyFill="false" applyFont="true" applyNumberFormat="false" applyProtection="false" borderId="67" fillId="0" fontId="1" numFmtId="0" xfId="0">
      <alignment horizontal="center" vertical="bottom" wrapText="true"/>
    </xf>
    <xf applyAlignment="true" applyBorder="false" applyFill="false" applyFont="true" applyNumberFormat="false" applyProtection="false" borderId="68" fillId="0" fontId="2" numFmtId="0" xfId="0">
      <alignment horizontal="center" vertical="bottom"/>
    </xf>
    <xf applyAlignment="true" applyBorder="false" applyFill="true" applyFont="true" applyNumberFormat="false" applyProtection="false" borderId="69" fillId="19" fontId="2" numFmtId="0" xfId="0">
      <alignment horizontal="center" vertical="bottom"/>
    </xf>
    <xf applyAlignment="true" applyBorder="false" applyFill="true" applyFont="true" applyNumberFormat="false" applyProtection="false" borderId="70" fillId="20" fontId="2" numFmtId="0" xfId="0">
      <alignment horizontal="center" vertical="bottom"/>
    </xf>
    <xf applyAlignment="true" applyBorder="false" applyFill="true" applyFont="true" applyNumberFormat="false" applyProtection="false" borderId="71" fillId="21" fontId="1" numFmtId="0" xfId="0">
      <alignment horizontal="center" vertical="bottom"/>
    </xf>
    <xf applyAlignment="true" applyBorder="false" applyFill="true" applyFont="true" applyNumberFormat="true" applyProtection="false" borderId="72" fillId="22" fontId="1" numFmtId="180" xfId="0">
      <alignment horizontal="center" vertical="bottom"/>
    </xf>
    <xf applyAlignment="true" applyBorder="false" applyFill="true" applyFont="true" applyNumberFormat="false" applyProtection="false" borderId="73" fillId="23" fontId="1" numFmtId="0" xfId="0">
      <alignment vertical="bottom" wrapText="true"/>
    </xf>
    <xf applyAlignment="true" applyBorder="false" applyFill="true" applyFont="true" applyNumberFormat="true" applyProtection="false" borderId="74" fillId="24" fontId="1" numFmtId="181" xfId="0">
      <alignment horizontal="center" vertical="bottom" wrapText="true"/>
    </xf>
    <xf applyAlignment="true" applyBorder="false" applyFill="true" applyFont="true" applyNumberFormat="false" applyProtection="false" borderId="75" fillId="25" fontId="1" numFmtId="0" xfId="0">
      <alignment vertical="bottom"/>
    </xf>
    <xf applyAlignment="true" applyBorder="false" applyFill="true" applyFont="true" applyNumberFormat="false" applyProtection="false" borderId="76" fillId="26" fontId="1" numFmtId="0" xfId="0">
      <alignment horizontal="center" vertical="bottom" wrapText="true"/>
    </xf>
    <xf applyAlignment="true" applyBorder="false" applyFill="false" applyFont="true" applyNumberFormat="true" applyProtection="false" borderId="77" fillId="0" fontId="2" numFmtId="182" xfId="0">
      <alignment horizontal="right" vertical="bottom"/>
    </xf>
    <xf applyAlignment="true" applyBorder="false" applyFill="true" applyFont="true" applyNumberFormat="true" applyProtection="false" borderId="78" fillId="27" fontId="2" numFmtId="183" xfId="0">
      <alignment horizontal="center" vertical="bottom"/>
    </xf>
    <xf applyAlignment="true" applyBorder="false" applyFill="false" applyFont="true" applyNumberFormat="true" applyProtection="false" borderId="79" fillId="0" fontId="2" numFmtId="184" xfId="0">
      <alignment horizontal="center" vertical="bottom" wrapText="true"/>
    </xf>
    <xf applyAlignment="true" applyBorder="false" applyFill="false" applyFont="true" applyNumberFormat="true" applyProtection="false" borderId="80" fillId="0" fontId="2" numFmtId="185" xfId="0">
      <alignment vertical="bottom"/>
    </xf>
    <xf applyAlignment="true" applyBorder="false" applyFill="false" applyFont="true" applyNumberFormat="true" applyProtection="false" borderId="81" fillId="0" fontId="1" numFmtId="186" xfId="0">
      <alignment horizontal="left" vertical="bottom"/>
    </xf>
    <xf applyAlignment="true" applyBorder="false" applyFill="false" applyFont="true" applyNumberFormat="false" applyProtection="false" borderId="82" fillId="0" fontId="2" numFmtId="0" xfId="0">
      <alignment horizontal="center" vertical="bottom"/>
    </xf>
    <xf applyAlignment="true" applyBorder="false" applyFill="false" applyFont="true" applyNumberFormat="true" applyProtection="false" borderId="83" fillId="0" fontId="1" numFmtId="187" xfId="0">
      <alignment horizontal="right" vertical="bottom"/>
    </xf>
    <xf applyAlignment="true" applyBorder="false" applyFill="false" applyFont="true" applyNumberFormat="true" applyProtection="false" borderId="84" fillId="0" fontId="1" numFmtId="188" xfId="0">
      <alignment horizontal="center" vertical="bottom"/>
    </xf>
    <xf applyAlignment="true" applyBorder="false" applyFill="false" applyFont="true" applyNumberFormat="true" applyProtection="false" borderId="85" fillId="0" fontId="1" numFmtId="189" xfId="0">
      <alignment vertical="bottom"/>
    </xf>
    <xf applyAlignment="true" applyBorder="false" applyFill="false" applyFont="true" applyNumberFormat="false" applyProtection="false" borderId="86" fillId="0" fontId="1" numFmtId="0" xfId="0">
      <alignment vertical="bottom"/>
    </xf>
    <xf applyAlignment="true" applyBorder="false" applyFill="false" applyFont="true" applyNumberFormat="false" applyProtection="false" borderId="87" fillId="0" fontId="1" numFmtId="0" xfId="0">
      <alignment vertical="bottom"/>
    </xf>
    <xf applyAlignment="true" applyBorder="false" applyFill="false" applyFont="true" applyNumberFormat="true" applyProtection="false" borderId="88" fillId="0" fontId="1" numFmtId="190" xfId="0">
      <alignment horizontal="center" vertical="bottom"/>
    </xf>
    <xf applyAlignment="true" applyBorder="false" applyFill="true" applyFont="true" applyNumberFormat="false" applyProtection="false" borderId="89" fillId="28" fontId="2" numFmtId="0" xfId="0">
      <alignment horizontal="center" vertical="center" wrapText="true"/>
    </xf>
    <xf applyAlignment="true" applyBorder="false" applyFill="false" applyFont="true" applyNumberFormat="true" applyProtection="false" borderId="90" fillId="0" fontId="2" numFmtId="191" xfId="0">
      <alignment horizontal="center" vertical="center"/>
    </xf>
    <xf applyAlignment="true" applyBorder="false" applyFill="false" applyFont="true" applyNumberFormat="false" applyProtection="false" borderId="91" fillId="0" fontId="2" numFmtId="0" xfId="0">
      <alignment horizontal="center" vertical="center" wrapText="true"/>
    </xf>
    <xf applyAlignment="true" applyBorder="false" applyFill="true" applyFont="true" applyNumberFormat="false" applyProtection="false" borderId="92" fillId="29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G3" xSplit="6" ySplit="2"/>
    </sheetView>
  </sheetViews>
  <sheetFormatPr defaultColWidth="14" defaultRowHeight="19"/>
  <cols>
    <col collapsed="false" customWidth="true" hidden="false" max="1" min="1" style="0" width="13"/>
    <col collapsed="false" customWidth="true" hidden="true" max="1" min="1" style="0" width="13"/>
    <col collapsed="false" customWidth="true" hidden="false" max="2" min="2" style="0" width="16"/>
    <col collapsed="false" customWidth="true" hidden="false" max="3" min="3" style="0" width="20"/>
    <col collapsed="false" customWidth="true" hidden="false" max="4" min="4" style="0" width="23"/>
    <col collapsed="false" customWidth="true" hidden="false" max="5" min="5" style="0" width="13"/>
    <col collapsed="false" customWidth="true" hidden="false" max="6" min="6" style="0" width="11"/>
    <col collapsed="false" customWidth="true" hidden="false" max="7" min="7" style="0" width="18"/>
    <col collapsed="false" customWidth="true" hidden="false" max="8" min="8" style="0" width="17"/>
    <col collapsed="false" customWidth="true" hidden="false" max="9" min="9" style="0" width="17"/>
    <col collapsed="false" customWidth="true" hidden="false" max="10" min="10" style="0" width="19"/>
    <col collapsed="false" customWidth="true" hidden="false" max="11" min="11" style="0" width="21"/>
    <col collapsed="false" customWidth="true" hidden="false" max="12" min="12" style="0" width="14"/>
    <col collapsed="false" customWidth="true" hidden="false" max="13" min="13" style="0" width="18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20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4"/>
    <col collapsed="false" customWidth="true" hidden="false" max="36" min="36" style="0" width="14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  <col collapsed="false" customWidth="true" hidden="false" max="40" min="40" style="0" width="14"/>
    <col collapsed="false" customWidth="true" hidden="false" max="41" min="41" style="0" width="14"/>
    <col collapsed="false" customWidth="true" hidden="false" max="42" min="42" style="0" width="14"/>
    <col collapsed="false" customWidth="true" hidden="false" max="43" min="43" style="0" width="14"/>
    <col collapsed="false" customWidth="true" hidden="false" max="44" min="44" style="0" width="14"/>
    <col collapsed="false" customWidth="true" hidden="false" max="45" min="45" style="0" width="14"/>
    <col collapsed="false" customWidth="true" hidden="false" max="46" min="46" style="0" width="14"/>
    <col collapsed="false" customWidth="true" hidden="false" max="47" min="47" style="0" width="14"/>
    <col collapsed="false" customWidth="true" hidden="false" max="48" min="48" style="0" width="14"/>
    <col collapsed="false" customWidth="true" hidden="false" max="49" min="49" style="0" width="14"/>
    <col collapsed="false" customWidth="true" hidden="false" max="50" min="50" style="0" width="14"/>
    <col collapsed="false" customWidth="true" hidden="false" max="51" min="51" style="0" width="14"/>
    <col collapsed="false" customWidth="true" hidden="false" max="52" min="52" style="0" width="14"/>
    <col collapsed="false" customWidth="true" hidden="false" max="53" min="53" style="0" width="14"/>
    <col collapsed="false" customWidth="true" hidden="false" max="54" min="54" style="0" width="14"/>
    <col collapsed="false" customWidth="true" hidden="false" max="55" min="55" style="0" width="14"/>
    <col collapsed="false" customWidth="true" hidden="false" max="56" min="56" style="0" width="14"/>
    <col collapsed="false" customWidth="true" hidden="false" max="57" min="57" style="0" width="14"/>
    <col collapsed="false" customWidth="true" hidden="false" max="58" min="58" style="0" width="14"/>
    <col collapsed="false" customWidth="true" hidden="false" max="59" min="59" style="0" width="14"/>
    <col collapsed="false" customWidth="true" hidden="false" max="60" min="60" style="0" width="14"/>
    <col collapsed="false" customWidth="true" hidden="false" max="61" min="61" style="0" width="14"/>
    <col collapsed="false" customWidth="true" hidden="false" max="62" min="62" style="0" width="14"/>
    <col collapsed="false" customWidth="true" hidden="false" max="63" min="63" style="0" width="14"/>
    <col collapsed="false" customWidth="true" hidden="false" max="64" min="64" style="0" width="14"/>
    <col collapsed="false" customWidth="true" hidden="false" max="65" min="65" style="0" width="14"/>
    <col collapsed="false" customWidth="true" hidden="false" max="66" min="66" style="0" width="14"/>
    <col collapsed="false" customWidth="true" hidden="false" max="67" min="67" style="0" width="38"/>
    <col collapsed="false" customWidth="true" hidden="false" max="68" min="68" style="0" width="13"/>
  </cols>
  <sheetData>
    <row customHeight="true" ht="19" r="1">
      <c r="A1" s="34"/>
      <c r="B1" s="35"/>
      <c r="C1" s="34"/>
      <c r="D1" s="34"/>
      <c r="E1" s="36"/>
      <c r="F1" s="36"/>
      <c r="G1" s="24" t="str">
        <v>Opening Balance</v>
      </c>
      <c r="H1" s="24" t="str">
        <v>GRN</v>
      </c>
      <c r="I1" s="24" t="str">
        <v>GRN</v>
      </c>
      <c r="J1" s="24" t="str">
        <v>Inv Adjustment</v>
      </c>
      <c r="K1" s="24" t="str">
        <v>Inv Adjustment</v>
      </c>
      <c r="L1" s="24" t="str">
        <v>Location transfer</v>
      </c>
      <c r="M1" s="24" t="str">
        <v>Location transfer</v>
      </c>
      <c r="N1" s="24" t="str">
        <v>GRN</v>
      </c>
      <c r="O1" s="24" t="str">
        <v>Location transfer</v>
      </c>
      <c r="P1" s="24" t="str">
        <v>GRN</v>
      </c>
      <c r="Q1" s="24" t="str">
        <v>GRN</v>
      </c>
      <c r="R1" s="24" t="str">
        <v>Inv Adjustment</v>
      </c>
      <c r="S1" s="24" t="str">
        <v>GRN</v>
      </c>
      <c r="T1" s="24" t="str">
        <v>GRN</v>
      </c>
      <c r="U1" s="24" t="str">
        <v>Location transfer</v>
      </c>
      <c r="V1" s="24" t="str">
        <v>GRN</v>
      </c>
      <c r="W1" s="24" t="str">
        <v>Location transfer</v>
      </c>
      <c r="X1" s="24" t="str">
        <v>Inv Adjustment</v>
      </c>
      <c r="Y1" s="24" t="str">
        <v>Location transfer</v>
      </c>
      <c r="Z1" s="24" t="str">
        <v>GRN</v>
      </c>
      <c r="AA1" s="24" t="str">
        <v>GRN</v>
      </c>
      <c r="AB1" s="24" t="str">
        <v>GRN</v>
      </c>
      <c r="AC1" s="24" t="str">
        <v>Location transfer</v>
      </c>
      <c r="AD1" s="24" t="str">
        <v>Location transfer</v>
      </c>
      <c r="AE1" s="24" t="str">
        <v>Location transfer</v>
      </c>
      <c r="AF1" s="24" t="str">
        <v>GRN</v>
      </c>
      <c r="AG1" s="24" t="str">
        <v>Location transfer</v>
      </c>
      <c r="AH1" s="24" t="str">
        <v>GRN</v>
      </c>
      <c r="AI1" s="24" t="str">
        <v>GRN</v>
      </c>
      <c r="AJ1" s="24" t="str">
        <v>Inv adjustment</v>
      </c>
      <c r="AK1" s="24" t="str">
        <v>Location transfer</v>
      </c>
      <c r="AL1" s="24" t="str">
        <v>GRN</v>
      </c>
      <c r="AM1" s="24" t="str">
        <v>Location transfer</v>
      </c>
      <c r="AN1" s="24" t="str">
        <v>GRN</v>
      </c>
      <c r="AO1" s="24" t="str">
        <v>Location transfer</v>
      </c>
      <c r="AP1" s="24" t="str">
        <v>Location transfer</v>
      </c>
      <c r="AQ1" s="24" t="str">
        <v>Location transfer</v>
      </c>
      <c r="AR1" s="24" t="str">
        <v>Location transfer</v>
      </c>
      <c r="AS1" s="24" t="str">
        <v>Location Transfer</v>
      </c>
      <c r="AT1" s="24" t="str">
        <v>Location transfer</v>
      </c>
      <c r="AU1" s="24" t="str">
        <v>Location transfer</v>
      </c>
      <c r="AV1" s="24" t="str">
        <v>Location transfer</v>
      </c>
      <c r="AW1" s="24" t="str">
        <v>GRN</v>
      </c>
      <c r="AX1" s="24" t="str">
        <v>Location transfer</v>
      </c>
      <c r="AY1" s="24" t="str">
        <v>Location Transfer</v>
      </c>
      <c r="AZ1" s="24" t="str">
        <v>Location transfer</v>
      </c>
      <c r="BA1" s="24" t="str">
        <v>Location Transfer</v>
      </c>
      <c r="BB1" s="24" t="str">
        <v>Location transfer</v>
      </c>
      <c r="BC1" s="24" t="str">
        <v>GRN</v>
      </c>
      <c r="BD1" s="24" t="str">
        <v>Location transfer</v>
      </c>
      <c r="BE1" s="24" t="str">
        <v>Location Transfer</v>
      </c>
      <c r="BF1" s="24" t="str">
        <v>Inv Adjustment</v>
      </c>
      <c r="BG1" s="24" t="str">
        <v>Location transfer</v>
      </c>
      <c r="BH1" s="24" t="str">
        <v>Location Transfer</v>
      </c>
      <c r="BI1" s="24" t="str">
        <v>Location transfer</v>
      </c>
      <c r="BJ1" s="24" t="str">
        <v>GRN</v>
      </c>
      <c r="BK1" s="24" t="str">
        <v>Location transfer</v>
      </c>
      <c r="BL1" s="24" t="str">
        <v>Location transfer</v>
      </c>
      <c r="BM1" s="24"/>
      <c r="BN1" s="24"/>
      <c r="BO1" s="10"/>
      <c r="BP1" s="24"/>
    </row>
    <row customHeight="true" ht="19" r="2">
      <c r="A2" s="29" t="str">
        <v>KRETA AYER</v>
      </c>
      <c r="B2" s="30" t="str">
        <v>Barcode</v>
      </c>
      <c r="C2" s="29" t="str">
        <v>Attributes2</v>
      </c>
      <c r="D2" s="29" t="str">
        <v>Attributes3</v>
      </c>
      <c r="E2" s="28" t="str">
        <v>Retail Price</v>
      </c>
      <c r="F2" s="28" t="str">
        <v>Cost Price (65%)</v>
      </c>
      <c r="G2" s="27" t="str">
        <v>Stock Carried Forward from 2021</v>
      </c>
      <c r="H2" s="27" t="str">
        <v>Stock In 20/1/22</v>
      </c>
      <c r="I2" s="27" t="str">
        <v>Stock In 24/1/22</v>
      </c>
      <c r="J2" s="27" t="str">
        <v>Enter Wrong Starting Stock 3/2/22</v>
      </c>
      <c r="K2" s="27" t="str">
        <v>Recon - sold wrong scent 3/2/22</v>
      </c>
      <c r="L2" s="27" t="str">
        <v>Sample for SingHealth 20/4</v>
      </c>
      <c r="M2" s="27" t="str">
        <v>Transfer In from Online
03/05/22</v>
      </c>
      <c r="N2" s="27" t="str">
        <v>Stock In 
17/5/22</v>
      </c>
      <c r="O2" s="27" t="str">
        <v>Returned Samples from SingHealth
03/06/22</v>
      </c>
      <c r="P2" s="27" t="str">
        <v>Stock In
16/08/22</v>
      </c>
      <c r="Q2" s="27" t="str">
        <v>Stock In
23/09/22</v>
      </c>
      <c r="R2" s="27" t="str">
        <v>Stock Out
07/10/22</v>
      </c>
      <c r="S2" s="27" t="str">
        <v>Stock In
21/10/22</v>
      </c>
      <c r="T2" s="27" t="str">
        <v>Stock In
08/11/22</v>
      </c>
      <c r="U2" s="27" t="str">
        <v>Transfer Out to Corporate Order
08/12/22</v>
      </c>
      <c r="V2" s="27" t="str">
        <v>Stock In 13/12/22</v>
      </c>
      <c r="W2" s="27" t="str">
        <v>Transfer In from Corporate Order 
13/12/22</v>
      </c>
      <c r="X2" s="27" t="str">
        <v>Recon - Wrongly sold in Oct
10/01/23</v>
      </c>
      <c r="Y2" s="27" t="str">
        <v>Transfer In from Online 
15/01/23</v>
      </c>
      <c r="Z2" s="27" t="str">
        <v>Stock In
09/03/23</v>
      </c>
      <c r="AA2" s="27" t="str">
        <v>Stock In 23/05/23</v>
      </c>
      <c r="AB2" s="27" t="str">
        <v>Stock In
01/08/23</v>
      </c>
      <c r="AC2" s="27" t="str">
        <v>Transfer Out to Online
17/08/23</v>
      </c>
      <c r="AD2" s="27" t="str">
        <v>Transfer In from Online
26/08/23</v>
      </c>
      <c r="AE2" s="27" t="str">
        <v>Transfer In from Online
4/11/23</v>
      </c>
      <c r="AF2" s="27" t="str">
        <v>Stock In
08/11/23</v>
      </c>
      <c r="AG2" s="27" t="str">
        <v>Transfer Out to Online
29/11/23</v>
      </c>
      <c r="AH2" s="27" t="str">
        <v>Stock In
21/12/23</v>
      </c>
      <c r="AI2" s="27" t="str">
        <v>Stock Received
12/03/24</v>
      </c>
      <c r="AJ2" s="27" t="str">
        <v>Recon
06/04/24</v>
      </c>
      <c r="AK2" s="27" t="str">
        <v>Transfer In from Online
04/06/24</v>
      </c>
      <c r="AL2" s="27" t="str">
        <v>Stock In 10/8/24</v>
      </c>
      <c r="AM2" s="27" t="str">
        <v>Transfer Out to Online 4/12/24</v>
      </c>
      <c r="AN2" s="27" t="str">
        <v>Stock in 04/12/24</v>
      </c>
      <c r="AO2" s="27" t="str">
        <v>Transfer Out to Online 4/12/24</v>
      </c>
      <c r="AP2" s="27" t="str">
        <v>Transfer Out to Online 6/12/24</v>
      </c>
      <c r="AQ2" s="27" t="str">
        <v>Transfer Out to Online 24/12/24</v>
      </c>
      <c r="AR2" s="27" t="str">
        <v>Transfer Out to Online 2/1/25</v>
      </c>
      <c r="AS2" s="27" t="str">
        <v>Stock out for Corporate Order 23/1/25</v>
      </c>
      <c r="AT2" s="27" t="str">
        <v>Transfer Out to Online
8/2/25</v>
      </c>
      <c r="AU2" s="27" t="str">
        <v>Transfer Out to Online
8/2/25</v>
      </c>
      <c r="AV2" s="27" t="str">
        <v>Transfer Out to Online 
14/2/25</v>
      </c>
      <c r="AW2" s="27" t="str">
        <v>Stock In
21/2/25</v>
      </c>
      <c r="AX2" s="27" t="str">
        <v>Transfer Out to Online 10/4/25</v>
      </c>
      <c r="AY2" s="27" t="str">
        <v>Recon - Transfer Out to Online
3/6/25</v>
      </c>
      <c r="AZ2" s="27" t="str">
        <v>Transfer Out to Corp Order
29/06/25</v>
      </c>
      <c r="BA2" s="27" t="str">
        <v>Transfer Out to Corp Order
18/07/25</v>
      </c>
      <c r="BB2" s="27" t="str">
        <v>Transfer Out to Online
24/07/25</v>
      </c>
      <c r="BC2" s="27" t="str">
        <v>Stock in 21/08/25</v>
      </c>
      <c r="BD2" s="27" t="str">
        <v>Transfer Out to Online
28/08/25</v>
      </c>
      <c r="BE2" s="27" t="str">
        <v>Transfer in from APPEC 12/09/25</v>
      </c>
      <c r="BF2" s="27" t="str">
        <v>Recon
23/09/25</v>
      </c>
      <c r="BG2" s="27" t="str">
        <v>Transfer out for online order</v>
      </c>
      <c r="BH2" s="27" t="str">
        <v>Transfer Out to Corp Order
29/11/25</v>
      </c>
      <c r="BI2" s="27" t="str">
        <v>Transfer In From Online
11/12/25</v>
      </c>
      <c r="BJ2" s="27" t="str">
        <v>Stock in 16/12/25</v>
      </c>
      <c r="BK2" s="27" t="str">
        <v>Transfer out to Online
04/02/26</v>
      </c>
      <c r="BL2" s="27" t="str">
        <v>Transfer In from Online 
04/03/26</v>
      </c>
      <c r="BM2" s="27"/>
      <c r="BN2" s="27" t="str">
        <v>STOCKTAKE</v>
      </c>
      <c r="BO2" s="21" t="str">
        <v>Remarks</v>
      </c>
      <c r="BP2" s="27" t="str">
        <v>Restock Request</v>
      </c>
    </row>
    <row customHeight="true" ht="19" r="3">
      <c r="A3" s="2" t="str">
        <v>RIAU003009</v>
      </c>
      <c r="B3" s="9">
        <v>1245567891015</v>
      </c>
      <c r="C3" s="2" t="str">
        <v>Riau Candles (Double)</v>
      </c>
      <c r="D3" s="8" t="str">
        <v>Amber &amp; Ash</v>
      </c>
      <c r="E3" s="5">
        <v>60</v>
      </c>
      <c r="F3" s="5">
        <v>26</v>
      </c>
      <c r="G3" s="4">
        <v>2</v>
      </c>
      <c r="H3" s="4"/>
      <c r="I3" s="4"/>
      <c r="J3" s="21"/>
      <c r="K3" s="21"/>
      <c r="L3" s="21"/>
      <c r="M3" s="21"/>
      <c r="N3" s="4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>
        <v>2</v>
      </c>
      <c r="AG3" s="21"/>
      <c r="AH3" s="21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>
        <v>-2</v>
      </c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7"/>
      <c r="BP3" s="6"/>
    </row>
    <row customHeight="true" ht="19" r="4">
      <c r="A4" s="2" t="str">
        <v>RIAU003001</v>
      </c>
      <c r="B4" s="9">
        <v>1245567891022</v>
      </c>
      <c r="C4" s="2" t="str">
        <v>Riau Candles (Double)</v>
      </c>
      <c r="D4" s="22" t="str">
        <v>Brown Sugar &amp; Fig</v>
      </c>
      <c r="E4" s="5">
        <v>60</v>
      </c>
      <c r="F4" s="5">
        <v>26</v>
      </c>
      <c r="G4" s="1"/>
      <c r="H4" s="1"/>
      <c r="I4" s="1"/>
      <c r="J4" s="3"/>
      <c r="K4" s="3"/>
      <c r="L4" s="3"/>
      <c r="M4" s="3"/>
      <c r="N4" s="1">
        <v>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1"/>
      <c r="AJ4" s="1"/>
      <c r="AK4" s="1"/>
      <c r="AL4" s="4"/>
      <c r="AM4" s="4"/>
      <c r="AN4" s="4"/>
      <c r="AO4" s="4"/>
      <c r="AP4" s="4"/>
      <c r="AQ4" s="4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4"/>
      <c r="BN4" s="4"/>
      <c r="BO4" s="7"/>
      <c r="BP4" s="6"/>
    </row>
    <row customHeight="true" ht="19" r="5">
      <c r="A5" s="2" t="str">
        <v>RIAU007004</v>
      </c>
      <c r="B5" s="9">
        <v>1245567891039</v>
      </c>
      <c r="C5" s="2" t="str">
        <v>Riau Candles (Double)</v>
      </c>
      <c r="D5" s="8" t="str">
        <v>Christmas Tree</v>
      </c>
      <c r="E5" s="5">
        <v>60</v>
      </c>
      <c r="F5" s="5">
        <v>26</v>
      </c>
      <c r="G5" s="1"/>
      <c r="H5" s="1"/>
      <c r="I5" s="1"/>
      <c r="J5" s="3"/>
      <c r="K5" s="3"/>
      <c r="L5" s="3"/>
      <c r="M5" s="3"/>
      <c r="N5" s="1"/>
      <c r="O5" s="3"/>
      <c r="P5" s="3"/>
      <c r="Q5" s="3"/>
      <c r="R5" s="3"/>
      <c r="S5" s="3">
        <v>4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1"/>
      <c r="AJ5" s="1"/>
      <c r="AK5" s="1"/>
      <c r="AL5" s="4"/>
      <c r="AM5" s="4"/>
      <c r="AN5" s="4"/>
      <c r="AO5" s="4"/>
      <c r="AP5" s="4"/>
      <c r="AQ5" s="4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4"/>
      <c r="BN5" s="4"/>
      <c r="BO5" s="7"/>
      <c r="BP5" s="6"/>
    </row>
    <row customHeight="true" ht="19" r="6">
      <c r="A6" s="2" t="str">
        <v>RIAU003014</v>
      </c>
      <c r="B6" s="9">
        <v>1245567891046</v>
      </c>
      <c r="C6" s="2" t="str">
        <v>Riau Candles (Double)</v>
      </c>
      <c r="D6" s="2" t="str">
        <v>Clean Cotton</v>
      </c>
      <c r="E6" s="5">
        <v>60</v>
      </c>
      <c r="F6" s="5">
        <v>26</v>
      </c>
      <c r="G6" s="1"/>
      <c r="H6" s="1"/>
      <c r="I6" s="1"/>
      <c r="J6" s="3"/>
      <c r="K6" s="3"/>
      <c r="L6" s="3"/>
      <c r="M6" s="3"/>
      <c r="N6" s="1">
        <v>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>
        <v>2</v>
      </c>
      <c r="AG6" s="3"/>
      <c r="AH6" s="3"/>
      <c r="AI6" s="1"/>
      <c r="AJ6" s="1"/>
      <c r="AK6" s="1"/>
      <c r="AL6" s="4"/>
      <c r="AM6" s="4"/>
      <c r="AN6" s="4"/>
      <c r="AO6" s="4"/>
      <c r="AP6" s="4"/>
      <c r="AQ6" s="4"/>
      <c r="AR6" s="1"/>
      <c r="AS6" s="1"/>
      <c r="AT6" s="1"/>
      <c r="AU6" s="1"/>
      <c r="AV6" s="1"/>
      <c r="AW6" s="1"/>
      <c r="AX6" s="1"/>
      <c r="AY6" s="1"/>
      <c r="AZ6" s="1"/>
      <c r="BA6" s="1"/>
      <c r="BB6" s="1">
        <v>-1</v>
      </c>
      <c r="BC6" s="1"/>
      <c r="BD6" s="1"/>
      <c r="BE6" s="1"/>
      <c r="BF6" s="1"/>
      <c r="BG6" s="1"/>
      <c r="BH6" s="1"/>
      <c r="BI6" s="1"/>
      <c r="BJ6" s="1"/>
      <c r="BK6" s="1"/>
      <c r="BL6" s="1"/>
      <c r="BM6" s="4"/>
      <c r="BN6" s="4"/>
      <c r="BO6" s="7"/>
      <c r="BP6" s="6"/>
    </row>
    <row customHeight="true" ht="19" r="7">
      <c r="A7" s="2"/>
      <c r="B7" s="9">
        <v>2512161029335</v>
      </c>
      <c r="C7" s="2" t="str">
        <v>Riau Candles (Double)</v>
      </c>
      <c r="D7" s="2" t="str">
        <v>Daydream</v>
      </c>
      <c r="E7" s="5">
        <v>60</v>
      </c>
      <c r="F7" s="5">
        <v>26</v>
      </c>
      <c r="G7" s="1"/>
      <c r="H7" s="1"/>
      <c r="I7" s="1"/>
      <c r="J7" s="3"/>
      <c r="K7" s="3"/>
      <c r="L7" s="3"/>
      <c r="M7" s="3"/>
      <c r="N7" s="1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1"/>
      <c r="AJ7" s="1"/>
      <c r="AK7" s="1"/>
      <c r="AL7" s="4"/>
      <c r="AM7" s="4"/>
      <c r="AN7" s="4"/>
      <c r="AO7" s="4"/>
      <c r="AP7" s="4"/>
      <c r="AQ7" s="4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4"/>
      <c r="BN7" s="4"/>
      <c r="BO7" s="7"/>
      <c r="BP7" s="6"/>
    </row>
    <row customHeight="true" ht="19" r="8">
      <c r="A8" s="2" t="str">
        <v>RIAU007002</v>
      </c>
      <c r="B8" s="7">
        <v>2403121716030</v>
      </c>
      <c r="C8" s="2" t="str">
        <v>Riau Candles (Double)</v>
      </c>
      <c r="D8" s="2" t="str">
        <v>Desert Sunset</v>
      </c>
      <c r="E8" s="5">
        <v>60</v>
      </c>
      <c r="F8" s="5">
        <v>26</v>
      </c>
      <c r="G8" s="1"/>
      <c r="H8" s="1"/>
      <c r="I8" s="1"/>
      <c r="J8" s="3"/>
      <c r="K8" s="3"/>
      <c r="L8" s="3"/>
      <c r="M8" s="3"/>
      <c r="N8" s="1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1">
        <v>2</v>
      </c>
      <c r="AJ8" s="1"/>
      <c r="AK8" s="1"/>
      <c r="AL8" s="4"/>
      <c r="AM8" s="4"/>
      <c r="AN8" s="4"/>
      <c r="AO8" s="4"/>
      <c r="AP8" s="4"/>
      <c r="AQ8" s="4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4"/>
      <c r="BN8" s="4"/>
      <c r="BO8" s="7"/>
      <c r="BP8" s="6"/>
    </row>
    <row customHeight="true" ht="19" r="9">
      <c r="A9" s="2" t="str">
        <v>RIAU003008</v>
      </c>
      <c r="B9" s="9">
        <v>1245567891053</v>
      </c>
      <c r="C9" s="2" t="str">
        <v>Riau Candles (Double)</v>
      </c>
      <c r="D9" s="8" t="str">
        <v>Eucalyptus &amp; Mint</v>
      </c>
      <c r="E9" s="5">
        <v>60</v>
      </c>
      <c r="F9" s="5">
        <v>26</v>
      </c>
      <c r="G9" s="1">
        <v>3</v>
      </c>
      <c r="H9" s="1"/>
      <c r="I9" s="1"/>
      <c r="J9" s="3"/>
      <c r="K9" s="3"/>
      <c r="L9" s="3"/>
      <c r="M9" s="3"/>
      <c r="N9" s="1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>
        <v>2</v>
      </c>
      <c r="AI9" s="1"/>
      <c r="AJ9" s="1"/>
      <c r="AK9" s="1"/>
      <c r="AL9" s="4"/>
      <c r="AM9" s="4"/>
      <c r="AN9" s="4"/>
      <c r="AO9" s="4"/>
      <c r="AP9" s="4"/>
      <c r="AQ9" s="4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4"/>
      <c r="BN9" s="4"/>
      <c r="BO9" s="7"/>
      <c r="BP9" s="6"/>
    </row>
    <row customHeight="true" ht="19" r="10">
      <c r="A10" s="2" t="str">
        <v>RIAU007003</v>
      </c>
      <c r="B10" s="9">
        <v>1245567891060</v>
      </c>
      <c r="C10" s="2" t="str">
        <v>Riau Candles (Double)</v>
      </c>
      <c r="D10" s="8" t="str">
        <v>Forest Berry</v>
      </c>
      <c r="E10" s="5">
        <v>60</v>
      </c>
      <c r="F10" s="5">
        <v>26</v>
      </c>
      <c r="G10" s="1">
        <v>3</v>
      </c>
      <c r="H10" s="1"/>
      <c r="I10" s="1"/>
      <c r="J10" s="3"/>
      <c r="K10" s="3"/>
      <c r="L10" s="3"/>
      <c r="M10" s="3"/>
      <c r="N10" s="1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1"/>
      <c r="AJ10" s="1"/>
      <c r="AK10" s="1"/>
      <c r="AL10" s="4"/>
      <c r="AM10" s="4"/>
      <c r="AN10" s="4"/>
      <c r="AO10" s="4"/>
      <c r="AP10" s="4"/>
      <c r="AQ10" s="4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4"/>
      <c r="BN10" s="4"/>
      <c r="BO10" s="7"/>
      <c r="BP10" s="6"/>
    </row>
    <row customHeight="true" ht="19" r="11">
      <c r="A11" s="2" t="str">
        <v>RIAU003004</v>
      </c>
      <c r="B11" s="9">
        <v>1245567891077</v>
      </c>
      <c r="C11" s="2" t="str">
        <v>Riau Candles (Double)</v>
      </c>
      <c r="D11" s="22" t="str">
        <v>French Vanilla</v>
      </c>
      <c r="E11" s="5">
        <v>60</v>
      </c>
      <c r="F11" s="5">
        <v>26</v>
      </c>
      <c r="G11" s="1">
        <v>3</v>
      </c>
      <c r="H11" s="1"/>
      <c r="I11" s="1"/>
      <c r="J11" s="3"/>
      <c r="K11" s="3"/>
      <c r="L11" s="3"/>
      <c r="M11" s="3"/>
      <c r="N11" s="1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"/>
      <c r="AJ11" s="1"/>
      <c r="AK11" s="1"/>
      <c r="AL11" s="4"/>
      <c r="AM11" s="4"/>
      <c r="AN11" s="4"/>
      <c r="AO11" s="4"/>
      <c r="AP11" s="4"/>
      <c r="AQ11" s="4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>
        <v>-1</v>
      </c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4"/>
      <c r="BN11" s="4"/>
      <c r="BO11" s="7"/>
      <c r="BP11" s="6"/>
    </row>
    <row customHeight="true" ht="19" r="12">
      <c r="A12" s="2" t="str">
        <v>RIAU003007</v>
      </c>
      <c r="B12" s="9">
        <v>1245567891084</v>
      </c>
      <c r="C12" s="2" t="str">
        <v>Riau Candles (Double)</v>
      </c>
      <c r="D12" s="2" t="str">
        <v>Honeysuckle Jasmine</v>
      </c>
      <c r="E12" s="5">
        <v>60</v>
      </c>
      <c r="F12" s="5">
        <v>26</v>
      </c>
      <c r="G12" s="1">
        <v>2</v>
      </c>
      <c r="H12" s="1"/>
      <c r="I12" s="1"/>
      <c r="J12" s="3"/>
      <c r="K12" s="3"/>
      <c r="L12" s="3"/>
      <c r="M12" s="3"/>
      <c r="N12" s="1">
        <v>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1"/>
      <c r="AJ12" s="1"/>
      <c r="AK12" s="1"/>
      <c r="AL12" s="4"/>
      <c r="AM12" s="4"/>
      <c r="AN12" s="4"/>
      <c r="AO12" s="4"/>
      <c r="AP12" s="4"/>
      <c r="AQ12" s="4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4"/>
      <c r="BN12" s="4"/>
      <c r="BO12" s="7"/>
      <c r="BP12" s="6"/>
    </row>
    <row customHeight="true" ht="19" r="13">
      <c r="A13" s="2" t="str">
        <v>RIAU003010</v>
      </c>
      <c r="B13" s="9">
        <v>1245567891091</v>
      </c>
      <c r="C13" s="2" t="str">
        <v>Riau Candles (Double)</v>
      </c>
      <c r="D13" s="22" t="str">
        <v>Island Coconut</v>
      </c>
      <c r="E13" s="5">
        <v>60</v>
      </c>
      <c r="F13" s="5">
        <v>26</v>
      </c>
      <c r="G13" s="1"/>
      <c r="H13" s="1"/>
      <c r="I13" s="1"/>
      <c r="J13" s="3"/>
      <c r="K13" s="3"/>
      <c r="L13" s="3"/>
      <c r="M13" s="3"/>
      <c r="N13" s="1">
        <v>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>
        <v>2</v>
      </c>
      <c r="AI13" s="1"/>
      <c r="AJ13" s="1"/>
      <c r="AK13" s="1"/>
      <c r="AL13" s="4"/>
      <c r="AM13" s="4"/>
      <c r="AN13" s="4"/>
      <c r="AO13" s="4"/>
      <c r="AP13" s="4"/>
      <c r="AQ13" s="4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>
        <v>-2</v>
      </c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4"/>
      <c r="BN13" s="4"/>
      <c r="BO13" s="7"/>
      <c r="BP13" s="6"/>
    </row>
    <row customHeight="true" ht="19" r="14">
      <c r="A14" s="2" t="str">
        <v>RIAU003002</v>
      </c>
      <c r="B14" s="9">
        <v>1245567891107</v>
      </c>
      <c r="C14" s="2" t="str">
        <v>Riau Candles (Double)</v>
      </c>
      <c r="D14" s="8" t="str">
        <v>Island Driftwood</v>
      </c>
      <c r="E14" s="5">
        <v>60</v>
      </c>
      <c r="F14" s="5">
        <v>26</v>
      </c>
      <c r="G14" s="1">
        <v>3</v>
      </c>
      <c r="H14" s="1"/>
      <c r="I14" s="1"/>
      <c r="J14" s="3"/>
      <c r="K14" s="3"/>
      <c r="L14" s="3"/>
      <c r="M14" s="3"/>
      <c r="N14" s="1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>
        <v>2</v>
      </c>
      <c r="AI14" s="1"/>
      <c r="AJ14" s="1"/>
      <c r="AK14" s="1"/>
      <c r="AL14" s="4"/>
      <c r="AM14" s="4"/>
      <c r="AN14" s="4"/>
      <c r="AO14" s="4"/>
      <c r="AP14" s="4"/>
      <c r="AQ14" s="4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>
        <v>-2</v>
      </c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4"/>
      <c r="BN14" s="4"/>
      <c r="BO14" s="7"/>
      <c r="BP14" s="6"/>
    </row>
    <row customHeight="true" ht="19" r="15">
      <c r="A15" s="2" t="str">
        <v>RIAU003016</v>
      </c>
      <c r="B15" s="9">
        <v>1245567891114</v>
      </c>
      <c r="C15" s="2" t="str">
        <v>Riau Candles (Double)</v>
      </c>
      <c r="D15" s="8" t="str">
        <v>Lemongrass Tea</v>
      </c>
      <c r="E15" s="5">
        <v>60</v>
      </c>
      <c r="F15" s="5">
        <v>26</v>
      </c>
      <c r="G15" s="1">
        <v>3</v>
      </c>
      <c r="H15" s="1"/>
      <c r="I15" s="1"/>
      <c r="J15" s="3"/>
      <c r="K15" s="3"/>
      <c r="L15" s="3"/>
      <c r="M15" s="3"/>
      <c r="N15" s="1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>
        <v>4</v>
      </c>
      <c r="AI15" s="1"/>
      <c r="AJ15" s="1"/>
      <c r="AK15" s="1"/>
      <c r="AL15" s="4"/>
      <c r="AM15" s="4"/>
      <c r="AN15" s="4"/>
      <c r="AO15" s="4"/>
      <c r="AP15" s="4"/>
      <c r="AQ15" s="4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4"/>
      <c r="BN15" s="4"/>
      <c r="BO15" s="7"/>
      <c r="BP15" s="6"/>
    </row>
    <row customHeight="true" ht="19" r="16">
      <c r="A16" s="2" t="str">
        <v>RIAU003003</v>
      </c>
      <c r="B16" s="9">
        <v>1245567891121</v>
      </c>
      <c r="C16" s="2" t="str">
        <v>Riau Candles (Double)</v>
      </c>
      <c r="D16" s="2" t="str">
        <v>Merry Mistletoe</v>
      </c>
      <c r="E16" s="5">
        <v>60</v>
      </c>
      <c r="F16" s="5">
        <v>26</v>
      </c>
      <c r="G16" s="1">
        <v>5</v>
      </c>
      <c r="H16" s="1"/>
      <c r="I16" s="1"/>
      <c r="J16" s="3"/>
      <c r="K16" s="3"/>
      <c r="L16" s="3"/>
      <c r="M16" s="3"/>
      <c r="N16" s="1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1"/>
      <c r="AJ16" s="1"/>
      <c r="AK16" s="1"/>
      <c r="AL16" s="4"/>
      <c r="AM16" s="4"/>
      <c r="AN16" s="4"/>
      <c r="AO16" s="4"/>
      <c r="AP16" s="4"/>
      <c r="AQ16" s="4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>
        <v>-1</v>
      </c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4"/>
      <c r="BN16" s="4"/>
      <c r="BO16" s="7"/>
      <c r="BP16" s="6"/>
    </row>
    <row customHeight="true" ht="19" r="17">
      <c r="A17" s="2" t="str">
        <v>RIAU003011</v>
      </c>
      <c r="B17" s="9">
        <v>1245567891138</v>
      </c>
      <c r="C17" s="2" t="str">
        <v>Riau Candles (Double)</v>
      </c>
      <c r="D17" s="8" t="str">
        <v>Mountain Rain</v>
      </c>
      <c r="E17" s="5">
        <v>60</v>
      </c>
      <c r="F17" s="5">
        <v>26</v>
      </c>
      <c r="G17" s="1">
        <v>3</v>
      </c>
      <c r="H17" s="1"/>
      <c r="I17" s="1"/>
      <c r="J17" s="3"/>
      <c r="K17" s="3"/>
      <c r="L17" s="3"/>
      <c r="M17" s="3"/>
      <c r="N17" s="1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>
        <v>2</v>
      </c>
      <c r="AG17" s="3"/>
      <c r="AH17" s="3"/>
      <c r="AI17" s="1"/>
      <c r="AJ17" s="1"/>
      <c r="AK17" s="1"/>
      <c r="AL17" s="4"/>
      <c r="AM17" s="4"/>
      <c r="AN17" s="4"/>
      <c r="AO17" s="4"/>
      <c r="AP17" s="4"/>
      <c r="AQ17" s="4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>
        <v>-1</v>
      </c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4"/>
      <c r="BN17" s="4"/>
      <c r="BO17" s="7"/>
      <c r="BP17" s="6"/>
    </row>
    <row customHeight="true" ht="19" r="18">
      <c r="A18" s="2" t="str">
        <v>RIAU003015</v>
      </c>
      <c r="B18" s="9">
        <v>1245567891145</v>
      </c>
      <c r="C18" s="2" t="str">
        <v>Riau Candles (Double)</v>
      </c>
      <c r="D18" s="8" t="str">
        <v>Sandalwood &amp; Citrus</v>
      </c>
      <c r="E18" s="5">
        <v>60</v>
      </c>
      <c r="F18" s="5">
        <v>26</v>
      </c>
      <c r="G18" s="1">
        <v>3</v>
      </c>
      <c r="H18" s="1"/>
      <c r="I18" s="1"/>
      <c r="J18" s="3"/>
      <c r="K18" s="3"/>
      <c r="L18" s="3"/>
      <c r="M18" s="3"/>
      <c r="N18" s="1">
        <v>2</v>
      </c>
      <c r="O18" s="3"/>
      <c r="P18" s="3"/>
      <c r="Q18" s="3"/>
      <c r="R18" s="3"/>
      <c r="S18" s="3"/>
      <c r="T18" s="3"/>
      <c r="U18" s="3"/>
      <c r="V18" s="3">
        <v>2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1"/>
      <c r="AJ18" s="1"/>
      <c r="AK18" s="1"/>
      <c r="AL18" s="4"/>
      <c r="AM18" s="4"/>
      <c r="AN18" s="4"/>
      <c r="AO18" s="4"/>
      <c r="AP18" s="4"/>
      <c r="AQ18" s="4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4"/>
      <c r="BN18" s="4"/>
      <c r="BO18" s="7"/>
      <c r="BP18" s="6"/>
    </row>
    <row customHeight="true" ht="19" r="19">
      <c r="A19" s="2" t="str">
        <v>RIAU003012</v>
      </c>
      <c r="B19" s="9">
        <v>1245567891152</v>
      </c>
      <c r="C19" s="2" t="str">
        <v>Riau Candles (Double)</v>
      </c>
      <c r="D19" s="2" t="str">
        <v>Spice Market</v>
      </c>
      <c r="E19" s="5">
        <v>60</v>
      </c>
      <c r="F19" s="5">
        <v>26</v>
      </c>
      <c r="G19" s="1">
        <v>6</v>
      </c>
      <c r="H19" s="1"/>
      <c r="I19" s="1"/>
      <c r="J19" s="3"/>
      <c r="K19" s="3"/>
      <c r="L19" s="3"/>
      <c r="M19" s="3"/>
      <c r="N19" s="1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1"/>
      <c r="AJ19" s="1"/>
      <c r="AK19" s="1"/>
      <c r="AL19" s="4"/>
      <c r="AM19" s="4"/>
      <c r="AN19" s="4"/>
      <c r="AO19" s="4"/>
      <c r="AP19" s="4"/>
      <c r="AQ19" s="4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>
        <v>-2</v>
      </c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4"/>
      <c r="BN19" s="4"/>
      <c r="BO19" s="7"/>
      <c r="BP19" s="6"/>
    </row>
    <row customHeight="true" ht="19" r="20">
      <c r="A20" s="2" t="str">
        <v>RIAU003013</v>
      </c>
      <c r="B20" s="9">
        <v>1245567891169</v>
      </c>
      <c r="C20" s="2" t="str">
        <v>Riau Candles (Double)</v>
      </c>
      <c r="D20" s="8" t="str">
        <v>Vanilla &amp; Spice</v>
      </c>
      <c r="E20" s="5">
        <v>60</v>
      </c>
      <c r="F20" s="5">
        <v>26</v>
      </c>
      <c r="G20" s="1">
        <v>2</v>
      </c>
      <c r="H20" s="1"/>
      <c r="I20" s="1"/>
      <c r="J20" s="3"/>
      <c r="K20" s="3"/>
      <c r="L20" s="3"/>
      <c r="M20" s="3"/>
      <c r="N20" s="1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>
        <v>2</v>
      </c>
      <c r="AI20" s="1"/>
      <c r="AJ20" s="1"/>
      <c r="AK20" s="1"/>
      <c r="AL20" s="4"/>
      <c r="AM20" s="4"/>
      <c r="AN20" s="4"/>
      <c r="AO20" s="4"/>
      <c r="AP20" s="4"/>
      <c r="AQ20" s="4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>
        <v>-2</v>
      </c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4"/>
      <c r="BN20" s="4"/>
      <c r="BO20" s="7"/>
      <c r="BP20" s="6"/>
    </row>
    <row customHeight="true" ht="19" r="21">
      <c r="A21" s="2"/>
      <c r="B21" s="9">
        <v>1245567891176</v>
      </c>
      <c r="C21" s="2" t="str">
        <v>Riau Candles (Double)</v>
      </c>
      <c r="D21" s="8" t="str">
        <v>White Lily</v>
      </c>
      <c r="E21" s="5">
        <v>60</v>
      </c>
      <c r="F21" s="5">
        <v>26</v>
      </c>
      <c r="G21" s="1">
        <v>3</v>
      </c>
      <c r="H21" s="1"/>
      <c r="I21" s="1"/>
      <c r="J21" s="3"/>
      <c r="K21" s="3"/>
      <c r="L21" s="3"/>
      <c r="M21" s="3"/>
      <c r="N21" s="1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>
        <v>2</v>
      </c>
      <c r="AI21" s="1"/>
      <c r="AJ21" s="1"/>
      <c r="AK21" s="1"/>
      <c r="AL21" s="4"/>
      <c r="AM21" s="4"/>
      <c r="AN21" s="4"/>
      <c r="AO21" s="4"/>
      <c r="AP21" s="4"/>
      <c r="AQ21" s="4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4"/>
      <c r="BN21" s="4"/>
      <c r="BO21" s="7"/>
      <c r="BP21" s="6"/>
    </row>
    <row customHeight="true" ht="19" r="22">
      <c r="A22" s="2" t="str">
        <v>RIAU003006</v>
      </c>
      <c r="B22" s="9">
        <v>1245567891183</v>
      </c>
      <c r="C22" s="2" t="str">
        <v>Riau Candles (Double)</v>
      </c>
      <c r="D22" s="8" t="str">
        <v>Wild Rose</v>
      </c>
      <c r="E22" s="5">
        <v>60</v>
      </c>
      <c r="F22" s="5">
        <v>26</v>
      </c>
      <c r="G22" s="1">
        <v>3</v>
      </c>
      <c r="H22" s="1"/>
      <c r="I22" s="1"/>
      <c r="J22" s="3"/>
      <c r="K22" s="3"/>
      <c r="L22" s="3"/>
      <c r="M22" s="3"/>
      <c r="N22" s="1"/>
      <c r="O22" s="3"/>
      <c r="P22" s="3"/>
      <c r="Q22" s="3"/>
      <c r="R22" s="3"/>
      <c r="S22" s="3">
        <v>4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4</v>
      </c>
      <c r="AG22" s="3"/>
      <c r="AH22" s="3"/>
      <c r="AI22" s="1"/>
      <c r="AJ22" s="1"/>
      <c r="AK22" s="1"/>
      <c r="AL22" s="4"/>
      <c r="AM22" s="4"/>
      <c r="AN22" s="4"/>
      <c r="AO22" s="4"/>
      <c r="AP22" s="4"/>
      <c r="AQ22" s="4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>
        <v>-2</v>
      </c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4"/>
      <c r="BN22" s="4"/>
      <c r="BO22" s="7"/>
      <c r="BP22" s="6"/>
    </row>
    <row customHeight="true" ht="19" r="23">
      <c r="A23" s="42"/>
      <c r="B23" s="17"/>
      <c r="C23" s="16"/>
      <c r="D23" s="16"/>
      <c r="E23" s="16"/>
      <c r="F23" s="16"/>
      <c r="G23" s="16">
        <f>sum(G3:G22)</f>
      </c>
      <c r="H23" s="16">
        <f>sum(H3:H22)</f>
      </c>
      <c r="I23" s="16">
        <f>sum(I3:I22)</f>
      </c>
      <c r="J23" s="16">
        <f>sum(J3:J22)</f>
      </c>
      <c r="K23" s="16">
        <f>sum(K3:K22)</f>
      </c>
      <c r="L23" s="16">
        <f>sum(L3:L22)</f>
      </c>
      <c r="M23" s="16">
        <f>sum(M3:M22)</f>
      </c>
      <c r="N23" s="16">
        <f>sum(N3:N22)</f>
      </c>
      <c r="O23" s="16">
        <f>sum(O3:O22)</f>
      </c>
      <c r="P23" s="16">
        <f>sum(P3:P22)</f>
      </c>
      <c r="Q23" s="16"/>
      <c r="R23" s="16">
        <f>sum(R3:R22)</f>
      </c>
      <c r="S23" s="16">
        <f>sum(S3:S22)</f>
      </c>
      <c r="T23" s="16">
        <f>sum(T3:T22)</f>
      </c>
      <c r="U23" s="16">
        <f>sum(U3:U22)</f>
      </c>
      <c r="V23" s="16">
        <f>SUM(V3:V22)</f>
      </c>
      <c r="W23" s="16">
        <f>SUM(W3:W22)</f>
      </c>
      <c r="X23" s="16">
        <f>SUM(X3:X22)</f>
      </c>
      <c r="Y23" s="16">
        <f>SUM(Y3:Y22)</f>
      </c>
      <c r="Z23" s="16">
        <f>sum(Z3:Z22)</f>
      </c>
      <c r="AA23" s="16">
        <f>sum(AA3:AA22)</f>
      </c>
      <c r="AB23" s="16">
        <f>sum(AB3:AB22)</f>
      </c>
      <c r="AC23" s="16">
        <f>sum(AC3:AC22)</f>
      </c>
      <c r="AD23" s="16">
        <f>sum(AD3:AD22)</f>
      </c>
      <c r="AE23" s="16">
        <f>sum(AE3:AE22)</f>
      </c>
      <c r="AF23" s="16">
        <f>sum(AF3:AF22)</f>
      </c>
      <c r="AG23" s="16">
        <f>sum(AG3:AG22)</f>
      </c>
      <c r="AH23" s="16">
        <f>sum(AH3:AH22)</f>
      </c>
      <c r="AI23" s="16">
        <f>sum(AI3:AI22)</f>
      </c>
      <c r="AJ23" s="16">
        <f>sum(AJ3:AJ22)</f>
      </c>
      <c r="AK23" s="16">
        <f>sum(AK3:AK22)</f>
      </c>
      <c r="AL23" s="16">
        <f>sum(AL3:AL22)</f>
      </c>
      <c r="AM23" s="16">
        <f>sum(AM3:AM22)</f>
      </c>
      <c r="AN23" s="16">
        <f>sum(AN3:AN22)</f>
      </c>
      <c r="AO23" s="16">
        <f>sum(AO3:AO22)</f>
      </c>
      <c r="AP23" s="16">
        <f>sum(AP3:AP22)</f>
      </c>
      <c r="AQ23" s="16">
        <f>sum(AQ3:AQ22)</f>
      </c>
      <c r="AR23" s="16">
        <f>sum(AR3:AR22)</f>
      </c>
      <c r="AS23" s="16">
        <f>sum(AS3:AS22)</f>
      </c>
      <c r="AT23" s="16">
        <f>sum(AT3:AT22)</f>
      </c>
      <c r="AU23" s="16">
        <f>sum(AU3:AU22)</f>
      </c>
      <c r="AV23" s="16">
        <f>sum(AV3:AV22)</f>
      </c>
      <c r="AW23" s="16">
        <f>sum(AW3:AW22)</f>
      </c>
      <c r="AX23" s="16">
        <f>sum(AX3:AX22)</f>
      </c>
      <c r="AY23" s="16">
        <f>sum(AY3:AY22)</f>
      </c>
      <c r="AZ23" s="16">
        <f>sum(AZ3:AZ22)</f>
      </c>
      <c r="BA23" s="16">
        <f>sum(BA3:BA22)</f>
      </c>
      <c r="BB23" s="16">
        <f>sum(BB3:BB22)</f>
      </c>
      <c r="BC23" s="16">
        <f>sum(BC3:BC22)</f>
      </c>
      <c r="BD23" s="16">
        <f>sum(BD3:BD22)</f>
      </c>
      <c r="BE23" s="16">
        <f>sum(BE3:BE22)</f>
      </c>
      <c r="BF23" s="16">
        <f>sum(BF3:BF22)</f>
      </c>
      <c r="BG23" s="16">
        <f>sum(BG3:BG22)</f>
      </c>
      <c r="BH23" s="16">
        <f>sum(BH3:BH22)</f>
      </c>
      <c r="BI23" s="16">
        <f>sum(BI3:BI22)</f>
      </c>
      <c r="BJ23" s="16">
        <f>sum(BJ3:BJ22)</f>
      </c>
      <c r="BK23" s="16">
        <f>sum(BK3:BK22)</f>
      </c>
      <c r="BL23" s="16">
        <f>sum(BL3:BL22)</f>
      </c>
      <c r="BM23" s="16">
        <f>sum(BM3:BM22)</f>
      </c>
      <c r="BN23" s="16"/>
      <c r="BO23" s="16"/>
      <c r="BP23" s="16"/>
    </row>
    <row customHeight="true" ht="19" r="24">
      <c r="A24" s="2" t="str">
        <v>RIAU002009</v>
      </c>
      <c r="B24" s="9">
        <v>1244567891018</v>
      </c>
      <c r="C24" s="2" t="str">
        <v>Riau Candles (L)</v>
      </c>
      <c r="D24" s="8" t="str">
        <v>Amber &amp; Ash</v>
      </c>
      <c r="E24" s="5">
        <v>40</v>
      </c>
      <c r="F24" s="5">
        <v>19.5</v>
      </c>
      <c r="G24" s="1">
        <v>5</v>
      </c>
      <c r="H24" s="1"/>
      <c r="I24" s="1"/>
      <c r="J24" s="3"/>
      <c r="K24" s="3"/>
      <c r="L24" s="3"/>
      <c r="M24" s="3"/>
      <c r="N24" s="1">
        <v>2</v>
      </c>
      <c r="O24" s="3"/>
      <c r="P24" s="3">
        <v>3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>
        <v>4</v>
      </c>
      <c r="AB24" s="3"/>
      <c r="AC24" s="3"/>
      <c r="AD24" s="3"/>
      <c r="AE24" s="3"/>
      <c r="AF24" s="3"/>
      <c r="AG24" s="3"/>
      <c r="AH24" s="3"/>
      <c r="AI24" s="1"/>
      <c r="AJ24" s="1"/>
      <c r="AK24" s="1"/>
      <c r="AL24" s="4"/>
      <c r="AM24" s="4"/>
      <c r="AN24" s="4"/>
      <c r="AO24" s="4"/>
      <c r="AP24" s="4"/>
      <c r="AQ24" s="4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>
        <v>2</v>
      </c>
      <c r="BD24" s="1"/>
      <c r="BE24" s="1"/>
      <c r="BF24" s="1"/>
      <c r="BG24" s="1"/>
      <c r="BH24" s="1"/>
      <c r="BI24" s="1"/>
      <c r="BJ24" s="1">
        <v>2</v>
      </c>
      <c r="BK24" s="1"/>
      <c r="BL24" s="1"/>
      <c r="BM24" s="4"/>
      <c r="BN24" s="4"/>
      <c r="BO24" s="7"/>
      <c r="BP24" s="6"/>
    </row>
    <row customHeight="true" ht="19" r="25">
      <c r="A25" s="2" t="str">
        <v>RIAU002001</v>
      </c>
      <c r="B25" s="9">
        <v>1244567891025</v>
      </c>
      <c r="C25" s="2" t="str">
        <v>Riau Candles (L)</v>
      </c>
      <c r="D25" s="22" t="str">
        <v>Brown Sugar &amp; Fig</v>
      </c>
      <c r="E25" s="5">
        <v>40</v>
      </c>
      <c r="F25" s="5">
        <v>19.5</v>
      </c>
      <c r="G25" s="1">
        <v>2</v>
      </c>
      <c r="H25" s="1"/>
      <c r="I25" s="1"/>
      <c r="J25" s="3"/>
      <c r="K25" s="3"/>
      <c r="L25" s="3"/>
      <c r="M25" s="3"/>
      <c r="N25" s="1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1"/>
      <c r="AJ25" s="1"/>
      <c r="AK25" s="1"/>
      <c r="AL25" s="4"/>
      <c r="AM25" s="4"/>
      <c r="AN25" s="4"/>
      <c r="AO25" s="4"/>
      <c r="AP25" s="4"/>
      <c r="AQ25" s="4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>
        <v>2</v>
      </c>
      <c r="BK25" s="1"/>
      <c r="BL25" s="1"/>
      <c r="BM25" s="4"/>
      <c r="BN25" s="4"/>
      <c r="BO25" s="7"/>
      <c r="BP25" s="6"/>
    </row>
    <row customHeight="true" ht="19" r="26">
      <c r="A26" s="2" t="str">
        <v>RIAU002015</v>
      </c>
      <c r="B26" s="9">
        <v>1244567891032</v>
      </c>
      <c r="C26" s="2" t="str">
        <v>Riau Candles (L)</v>
      </c>
      <c r="D26" s="8" t="str">
        <v>Christmas Tree</v>
      </c>
      <c r="E26" s="5">
        <v>40</v>
      </c>
      <c r="F26" s="5">
        <v>19.5</v>
      </c>
      <c r="G26" s="1"/>
      <c r="H26" s="1"/>
      <c r="I26" s="1"/>
      <c r="J26" s="3"/>
      <c r="K26" s="3"/>
      <c r="L26" s="3"/>
      <c r="M26" s="3"/>
      <c r="N26" s="1"/>
      <c r="O26" s="3"/>
      <c r="P26" s="3"/>
      <c r="Q26" s="3"/>
      <c r="R26" s="3"/>
      <c r="S26" s="3">
        <v>4</v>
      </c>
      <c r="T26" s="3"/>
      <c r="U26" s="3">
        <v>-1</v>
      </c>
      <c r="V26" s="3">
        <v>4</v>
      </c>
      <c r="W26" s="3">
        <v>1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1"/>
      <c r="AJ26" s="1"/>
      <c r="AK26" s="1"/>
      <c r="AL26" s="4"/>
      <c r="AM26" s="4"/>
      <c r="AN26" s="4"/>
      <c r="AO26" s="4"/>
      <c r="AP26" s="4"/>
      <c r="AQ26" s="4"/>
      <c r="AR26" s="1"/>
      <c r="AS26" s="1"/>
      <c r="AT26" s="1">
        <v>-1</v>
      </c>
      <c r="AU26" s="1"/>
      <c r="AV26" s="1"/>
      <c r="AW26" s="1">
        <v>2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4"/>
      <c r="BN26" s="4"/>
      <c r="BO26" s="2"/>
      <c r="BP26" s="6"/>
    </row>
    <row customHeight="true" ht="19" r="27">
      <c r="A27" s="2" t="str">
        <v>RIAU002019</v>
      </c>
      <c r="B27" s="9">
        <v>124456789104</v>
      </c>
      <c r="C27" s="2" t="str">
        <v>Riau Candles (L)</v>
      </c>
      <c r="D27" s="2" t="str">
        <v>Citronella</v>
      </c>
      <c r="E27" s="5">
        <v>40</v>
      </c>
      <c r="F27" s="5">
        <v>19.5</v>
      </c>
      <c r="G27" s="1"/>
      <c r="H27" s="1"/>
      <c r="I27" s="1"/>
      <c r="J27" s="3"/>
      <c r="K27" s="3"/>
      <c r="L27" s="3"/>
      <c r="M27" s="3"/>
      <c r="N27" s="1">
        <v>2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1"/>
      <c r="AJ27" s="1"/>
      <c r="AK27" s="1"/>
      <c r="AL27" s="4"/>
      <c r="AM27" s="4"/>
      <c r="AN27" s="4"/>
      <c r="AO27" s="4"/>
      <c r="AP27" s="4"/>
      <c r="AQ27" s="4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4"/>
      <c r="BN27" s="4"/>
      <c r="BO27" s="7"/>
      <c r="BP27" s="6"/>
    </row>
    <row customHeight="true" ht="19" r="28">
      <c r="A28" s="2" t="str">
        <v>RIAU002012</v>
      </c>
      <c r="B28" s="9">
        <v>1244567891209</v>
      </c>
      <c r="C28" s="2" t="str">
        <v>Riau Candles (L)</v>
      </c>
      <c r="D28" s="2" t="str">
        <v>Coffee &amp; Cream</v>
      </c>
      <c r="E28" s="5">
        <v>40</v>
      </c>
      <c r="F28" s="5">
        <v>19.5</v>
      </c>
      <c r="G28" s="1"/>
      <c r="H28" s="1">
        <v>2</v>
      </c>
      <c r="I28" s="1"/>
      <c r="J28" s="3"/>
      <c r="K28" s="3"/>
      <c r="L28" s="3"/>
      <c r="M28" s="3"/>
      <c r="N28" s="1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>
        <v>1</v>
      </c>
      <c r="AE28" s="3"/>
      <c r="AF28" s="3"/>
      <c r="AG28" s="3"/>
      <c r="AH28" s="3"/>
      <c r="AI28" s="1"/>
      <c r="AJ28" s="1"/>
      <c r="AK28" s="1"/>
      <c r="AL28" s="4"/>
      <c r="AM28" s="4"/>
      <c r="AN28" s="4"/>
      <c r="AO28" s="4"/>
      <c r="AP28" s="4"/>
      <c r="AQ28" s="4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>
        <v>2</v>
      </c>
      <c r="BK28" s="1"/>
      <c r="BL28" s="1"/>
      <c r="BM28" s="4"/>
      <c r="BN28" s="4"/>
      <c r="BO28" s="7"/>
      <c r="BP28" s="6"/>
    </row>
    <row customHeight="true" ht="19" r="29">
      <c r="A29" s="2"/>
      <c r="B29" s="9">
        <v>2512161104513</v>
      </c>
      <c r="C29" s="2" t="str">
        <v>Riau Candles (L)</v>
      </c>
      <c r="D29" s="2" t="str">
        <v>Daydream</v>
      </c>
      <c r="E29" s="5">
        <v>40</v>
      </c>
      <c r="F29" s="5">
        <v>19.5</v>
      </c>
      <c r="G29" s="1"/>
      <c r="H29" s="1"/>
      <c r="I29" s="1"/>
      <c r="J29" s="3"/>
      <c r="K29" s="3"/>
      <c r="L29" s="3"/>
      <c r="M29" s="3"/>
      <c r="N29" s="1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1"/>
      <c r="AJ29" s="1"/>
      <c r="AK29" s="1"/>
      <c r="AL29" s="4"/>
      <c r="AM29" s="4"/>
      <c r="AN29" s="4"/>
      <c r="AO29" s="4"/>
      <c r="AP29" s="4"/>
      <c r="AQ29" s="4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>
        <v>2</v>
      </c>
      <c r="BK29" s="1"/>
      <c r="BL29" s="1"/>
      <c r="BM29" s="4"/>
      <c r="BN29" s="4"/>
      <c r="BO29" s="7"/>
      <c r="BP29" s="6"/>
    </row>
    <row customHeight="true" ht="19" r="30">
      <c r="A30" s="2" t="str">
        <v>RIAU006002</v>
      </c>
      <c r="B30" s="7">
        <v>2403121716399</v>
      </c>
      <c r="C30" s="2" t="str">
        <v>Riau Candles (L)</v>
      </c>
      <c r="D30" s="2" t="str">
        <v>Desert Sunset</v>
      </c>
      <c r="E30" s="5">
        <v>40</v>
      </c>
      <c r="F30" s="5">
        <v>19.5</v>
      </c>
      <c r="G30" s="1"/>
      <c r="H30" s="1"/>
      <c r="I30" s="1"/>
      <c r="J30" s="3"/>
      <c r="K30" s="3"/>
      <c r="L30" s="3"/>
      <c r="M30" s="3"/>
      <c r="N30" s="1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1">
        <v>2</v>
      </c>
      <c r="AJ30" s="1"/>
      <c r="AK30" s="1"/>
      <c r="AL30" s="4"/>
      <c r="AM30" s="4"/>
      <c r="AN30" s="4"/>
      <c r="AO30" s="4"/>
      <c r="AP30" s="4"/>
      <c r="AQ30" s="4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4"/>
      <c r="BN30" s="4"/>
      <c r="BO30" s="7"/>
      <c r="BP30" s="6"/>
    </row>
    <row customHeight="true" ht="19" r="31">
      <c r="A31" s="2" t="str">
        <v>RIAU002008</v>
      </c>
      <c r="B31" s="9">
        <v>1244567891056</v>
      </c>
      <c r="C31" s="2" t="str">
        <v>Riau Candles (L)</v>
      </c>
      <c r="D31" s="8" t="str">
        <v>Eucalyptus &amp; Mint</v>
      </c>
      <c r="E31" s="5">
        <v>40</v>
      </c>
      <c r="F31" s="5">
        <v>19.5</v>
      </c>
      <c r="G31" s="1">
        <v>4</v>
      </c>
      <c r="H31" s="1"/>
      <c r="I31" s="1"/>
      <c r="J31" s="3"/>
      <c r="K31" s="3"/>
      <c r="L31" s="3"/>
      <c r="M31" s="3"/>
      <c r="N31" s="1"/>
      <c r="O31" s="3"/>
      <c r="P31" s="3"/>
      <c r="Q31" s="3"/>
      <c r="R31" s="3"/>
      <c r="S31" s="3">
        <v>2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>
        <v>4</v>
      </c>
      <c r="AI31" s="1"/>
      <c r="AJ31" s="1"/>
      <c r="AK31" s="1"/>
      <c r="AL31" s="4"/>
      <c r="AM31" s="4"/>
      <c r="AN31" s="4"/>
      <c r="AO31" s="4"/>
      <c r="AP31" s="4"/>
      <c r="AQ31" s="4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>
        <v>3</v>
      </c>
      <c r="BK31" s="1"/>
      <c r="BL31" s="1"/>
      <c r="BM31" s="4"/>
      <c r="BN31" s="4"/>
      <c r="BO31" s="7"/>
      <c r="BP31" s="6"/>
    </row>
    <row customHeight="true" ht="19" r="32">
      <c r="A32" s="2" t="str">
        <v>RIAU006003</v>
      </c>
      <c r="B32" s="9">
        <v>1244567891063</v>
      </c>
      <c r="C32" s="2" t="str">
        <v>Riau Candles (L)</v>
      </c>
      <c r="D32" s="8" t="str">
        <v>Forest Berry</v>
      </c>
      <c r="E32" s="5">
        <v>40</v>
      </c>
      <c r="F32" s="5">
        <v>19.5</v>
      </c>
      <c r="G32" s="1">
        <v>4</v>
      </c>
      <c r="H32" s="1"/>
      <c r="I32" s="1"/>
      <c r="J32" s="3"/>
      <c r="K32" s="3"/>
      <c r="L32" s="3"/>
      <c r="M32" s="3"/>
      <c r="N32" s="1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1"/>
      <c r="AJ32" s="1"/>
      <c r="AK32" s="1"/>
      <c r="AL32" s="4"/>
      <c r="AM32" s="4"/>
      <c r="AN32" s="4"/>
      <c r="AO32" s="4"/>
      <c r="AP32" s="4"/>
      <c r="AQ32" s="4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4"/>
      <c r="BN32" s="4"/>
      <c r="BO32" s="7"/>
      <c r="BP32" s="6"/>
    </row>
    <row customHeight="true" ht="19" r="33">
      <c r="A33" s="2" t="str">
        <v>RIAU002004</v>
      </c>
      <c r="B33" s="9">
        <v>1244567891070</v>
      </c>
      <c r="C33" s="2" t="str">
        <v>Riau Candles (L)</v>
      </c>
      <c r="D33" s="22" t="str">
        <v>French Vanilla</v>
      </c>
      <c r="E33" s="5">
        <v>40</v>
      </c>
      <c r="F33" s="5">
        <v>19.5</v>
      </c>
      <c r="G33" s="1">
        <v>2</v>
      </c>
      <c r="H33" s="1"/>
      <c r="I33" s="1"/>
      <c r="J33" s="3"/>
      <c r="K33" s="3"/>
      <c r="L33" s="3"/>
      <c r="M33" s="3"/>
      <c r="N33" s="1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2</v>
      </c>
      <c r="AC33" s="3"/>
      <c r="AD33" s="3"/>
      <c r="AE33" s="3"/>
      <c r="AF33" s="3"/>
      <c r="AG33" s="3"/>
      <c r="AH33" s="3">
        <v>4</v>
      </c>
      <c r="AI33" s="1"/>
      <c r="AJ33" s="1"/>
      <c r="AK33" s="1"/>
      <c r="AL33" s="4"/>
      <c r="AM33" s="4"/>
      <c r="AN33" s="4"/>
      <c r="AO33" s="4"/>
      <c r="AP33" s="4"/>
      <c r="AQ33" s="4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4"/>
      <c r="BN33" s="4"/>
      <c r="BO33" s="7"/>
      <c r="BP33" s="6"/>
    </row>
    <row customHeight="true" ht="19" r="34">
      <c r="A34" s="2" t="str">
        <v>RIAU002007</v>
      </c>
      <c r="B34" s="9">
        <v>1244567891087</v>
      </c>
      <c r="C34" s="2" t="str">
        <v>Riau Candles (L)</v>
      </c>
      <c r="D34" s="2" t="str">
        <v>Honeysuckle Jasmine</v>
      </c>
      <c r="E34" s="5">
        <v>40</v>
      </c>
      <c r="F34" s="5">
        <v>19.5</v>
      </c>
      <c r="G34" s="1"/>
      <c r="H34" s="1"/>
      <c r="I34" s="1"/>
      <c r="J34" s="3"/>
      <c r="K34" s="3"/>
      <c r="L34" s="3"/>
      <c r="M34" s="3"/>
      <c r="N34" s="1">
        <v>2</v>
      </c>
      <c r="O34" s="3"/>
      <c r="P34" s="3"/>
      <c r="Q34" s="3"/>
      <c r="R34" s="3"/>
      <c r="S34" s="3">
        <v>2</v>
      </c>
      <c r="T34" s="3"/>
      <c r="U34" s="3"/>
      <c r="V34" s="3"/>
      <c r="W34" s="3"/>
      <c r="X34" s="3"/>
      <c r="Y34" s="3"/>
      <c r="Z34" s="3"/>
      <c r="AA34" s="3"/>
      <c r="AB34" s="3">
        <v>1</v>
      </c>
      <c r="AC34" s="3"/>
      <c r="AD34" s="3"/>
      <c r="AE34" s="3"/>
      <c r="AF34" s="3"/>
      <c r="AG34" s="3"/>
      <c r="AH34" s="3"/>
      <c r="AI34" s="1"/>
      <c r="AJ34" s="1"/>
      <c r="AK34" s="1"/>
      <c r="AL34" s="4"/>
      <c r="AM34" s="4"/>
      <c r="AN34" s="4"/>
      <c r="AO34" s="4"/>
      <c r="AP34" s="4"/>
      <c r="AQ34" s="4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4"/>
      <c r="BN34" s="4"/>
      <c r="BO34" s="7"/>
      <c r="BP34" s="6"/>
    </row>
    <row customHeight="true" ht="19" r="35">
      <c r="A35" s="2" t="str">
        <v>RIAU002010</v>
      </c>
      <c r="B35" s="9">
        <v>1244567891094</v>
      </c>
      <c r="C35" s="2" t="str">
        <v>Riau Candles (L)</v>
      </c>
      <c r="D35" s="22" t="str">
        <v>Island Coconut</v>
      </c>
      <c r="E35" s="5">
        <v>40</v>
      </c>
      <c r="F35" s="5">
        <v>19.5</v>
      </c>
      <c r="G35" s="1"/>
      <c r="H35" s="1"/>
      <c r="I35" s="1"/>
      <c r="J35" s="3"/>
      <c r="K35" s="3"/>
      <c r="L35" s="3"/>
      <c r="M35" s="3"/>
      <c r="N35" s="1">
        <v>2</v>
      </c>
      <c r="O35" s="3"/>
      <c r="P35" s="3"/>
      <c r="Q35" s="3"/>
      <c r="R35" s="3"/>
      <c r="S35" s="3">
        <v>4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>
        <v>2</v>
      </c>
      <c r="AI35" s="1"/>
      <c r="AJ35" s="1"/>
      <c r="AK35" s="1"/>
      <c r="AL35" s="4"/>
      <c r="AM35" s="4"/>
      <c r="AN35" s="4"/>
      <c r="AO35" s="4"/>
      <c r="AP35" s="4"/>
      <c r="AQ35" s="4"/>
      <c r="AR35" s="1"/>
      <c r="AS35" s="1"/>
      <c r="AT35" s="1"/>
      <c r="AU35" s="1"/>
      <c r="AV35" s="1"/>
      <c r="AW35" s="1"/>
      <c r="AX35" s="1"/>
      <c r="AY35" s="1">
        <v>-1</v>
      </c>
      <c r="AZ35" s="1"/>
      <c r="BA35" s="1"/>
      <c r="BB35" s="1"/>
      <c r="BC35" s="1"/>
      <c r="BD35" s="1">
        <v>-1</v>
      </c>
      <c r="BE35" s="1"/>
      <c r="BF35" s="1"/>
      <c r="BG35" s="1"/>
      <c r="BH35" s="1"/>
      <c r="BI35" s="1"/>
      <c r="BJ35" s="1">
        <v>2</v>
      </c>
      <c r="BK35" s="1"/>
      <c r="BL35" s="1"/>
      <c r="BM35" s="4"/>
      <c r="BN35" s="4"/>
      <c r="BO35" s="2"/>
      <c r="BP35" s="6"/>
    </row>
    <row customHeight="true" ht="19" r="36">
      <c r="A36" s="2" t="str">
        <v>RIAU002010</v>
      </c>
      <c r="B36" s="9">
        <v>1244567891100</v>
      </c>
      <c r="C36" s="2" t="str">
        <v>Riau Candles (L)</v>
      </c>
      <c r="D36" s="8" t="str">
        <v>Island Driftwood</v>
      </c>
      <c r="E36" s="5">
        <v>40</v>
      </c>
      <c r="F36" s="5">
        <v>19.5</v>
      </c>
      <c r="G36" s="1">
        <v>5</v>
      </c>
      <c r="H36" s="1"/>
      <c r="I36" s="1"/>
      <c r="J36" s="3"/>
      <c r="K36" s="3"/>
      <c r="L36" s="3"/>
      <c r="M36" s="3"/>
      <c r="N36" s="1"/>
      <c r="O36" s="3"/>
      <c r="P36" s="3"/>
      <c r="Q36" s="3"/>
      <c r="R36" s="3"/>
      <c r="S36" s="3">
        <v>2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>
        <v>4</v>
      </c>
      <c r="AI36" s="1"/>
      <c r="AJ36" s="1"/>
      <c r="AK36" s="1"/>
      <c r="AL36" s="4"/>
      <c r="AM36" s="4"/>
      <c r="AN36" s="4"/>
      <c r="AO36" s="4"/>
      <c r="AP36" s="4"/>
      <c r="AQ36" s="4"/>
      <c r="AR36" s="1"/>
      <c r="AS36" s="1"/>
      <c r="AT36" s="1"/>
      <c r="AU36" s="1">
        <v>-1</v>
      </c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>
        <v>2</v>
      </c>
      <c r="BK36" s="1"/>
      <c r="BL36" s="1"/>
      <c r="BM36" s="4"/>
      <c r="BN36" s="4"/>
      <c r="BO36" s="7"/>
      <c r="BP36" s="6"/>
    </row>
    <row customHeight="true" ht="19" r="37">
      <c r="A37" s="2" t="str">
        <v>RIAU002002</v>
      </c>
      <c r="B37" s="9">
        <v>1244567891117</v>
      </c>
      <c r="C37" s="2" t="str">
        <v>Riau Candles (L)</v>
      </c>
      <c r="D37" s="2" t="str">
        <v>Lavender</v>
      </c>
      <c r="E37" s="5">
        <v>40</v>
      </c>
      <c r="F37" s="5">
        <v>19.5</v>
      </c>
      <c r="G37" s="1">
        <v>1</v>
      </c>
      <c r="H37" s="1"/>
      <c r="I37" s="1"/>
      <c r="J37" s="3"/>
      <c r="K37" s="3"/>
      <c r="L37" s="3"/>
      <c r="M37" s="3"/>
      <c r="N37" s="1">
        <v>2</v>
      </c>
      <c r="O37" s="3"/>
      <c r="P37" s="3"/>
      <c r="Q37" s="3"/>
      <c r="R37" s="3"/>
      <c r="S37" s="3"/>
      <c r="T37" s="3"/>
      <c r="U37" s="3"/>
      <c r="V37" s="3">
        <v>2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1"/>
      <c r="AJ37" s="1"/>
      <c r="AK37" s="1"/>
      <c r="AL37" s="4"/>
      <c r="AM37" s="4"/>
      <c r="AN37" s="4"/>
      <c r="AO37" s="4"/>
      <c r="AP37" s="4"/>
      <c r="AQ37" s="4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4"/>
      <c r="BN37" s="4"/>
      <c r="BO37" s="7"/>
      <c r="BP37" s="6"/>
    </row>
    <row customHeight="true" ht="19" r="38">
      <c r="A38" s="2" t="str">
        <v>RIAU002017</v>
      </c>
      <c r="B38" s="9">
        <v>1244567891124</v>
      </c>
      <c r="C38" s="2" t="str">
        <v>Riau Candles (L)</v>
      </c>
      <c r="D38" s="8" t="str">
        <v>Lemongrass Tea</v>
      </c>
      <c r="E38" s="5">
        <v>40</v>
      </c>
      <c r="F38" s="5">
        <v>19.5</v>
      </c>
      <c r="G38" s="1">
        <v>7</v>
      </c>
      <c r="H38" s="1"/>
      <c r="I38" s="1"/>
      <c r="J38" s="3"/>
      <c r="K38" s="3"/>
      <c r="L38" s="3"/>
      <c r="M38" s="3"/>
      <c r="N38" s="1"/>
      <c r="O38" s="3"/>
      <c r="P38" s="3">
        <v>4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3</v>
      </c>
      <c r="AB38" s="3"/>
      <c r="AC38" s="3"/>
      <c r="AD38" s="3"/>
      <c r="AE38" s="3"/>
      <c r="AF38" s="3"/>
      <c r="AG38" s="3"/>
      <c r="AH38" s="3"/>
      <c r="AI38" s="1">
        <v>4</v>
      </c>
      <c r="AJ38" s="1"/>
      <c r="AK38" s="1"/>
      <c r="AL38" s="4"/>
      <c r="AM38" s="4"/>
      <c r="AN38" s="4"/>
      <c r="AO38" s="4"/>
      <c r="AP38" s="4"/>
      <c r="AQ38" s="4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>
        <v>2</v>
      </c>
      <c r="BD38" s="1"/>
      <c r="BE38" s="1"/>
      <c r="BF38" s="1"/>
      <c r="BG38" s="1"/>
      <c r="BH38" s="1"/>
      <c r="BI38" s="1"/>
      <c r="BJ38" s="1">
        <v>2</v>
      </c>
      <c r="BK38" s="1"/>
      <c r="BL38" s="1"/>
      <c r="BM38" s="4"/>
      <c r="BN38" s="4"/>
      <c r="BO38" s="7"/>
      <c r="BP38" s="6"/>
    </row>
    <row customHeight="true" ht="19" r="39">
      <c r="A39" s="2" t="str">
        <v>RIAU002003</v>
      </c>
      <c r="B39" s="9">
        <v>2502210909350</v>
      </c>
      <c r="C39" s="2" t="str">
        <v>Riau Candles (L)</v>
      </c>
      <c r="D39" s="2" t="str">
        <v>Matcha &amp; Bergamot</v>
      </c>
      <c r="E39" s="5">
        <v>40</v>
      </c>
      <c r="F39" s="5">
        <v>19.5</v>
      </c>
      <c r="G39" s="1"/>
      <c r="H39" s="1"/>
      <c r="I39" s="1"/>
      <c r="J39" s="3"/>
      <c r="K39" s="3"/>
      <c r="L39" s="3"/>
      <c r="M39" s="3"/>
      <c r="N39" s="1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1"/>
      <c r="AJ39" s="1"/>
      <c r="AK39" s="1"/>
      <c r="AL39" s="4"/>
      <c r="AM39" s="4"/>
      <c r="AN39" s="4"/>
      <c r="AO39" s="4"/>
      <c r="AP39" s="4"/>
      <c r="AQ39" s="4"/>
      <c r="AR39" s="1"/>
      <c r="AS39" s="1"/>
      <c r="AT39" s="1"/>
      <c r="AU39" s="1"/>
      <c r="AV39" s="1"/>
      <c r="AW39" s="1">
        <v>2</v>
      </c>
      <c r="AX39" s="1"/>
      <c r="AY39" s="1"/>
      <c r="AZ39" s="1"/>
      <c r="BA39" s="1"/>
      <c r="BB39" s="1"/>
      <c r="BC39" s="1">
        <v>4</v>
      </c>
      <c r="BD39" s="1"/>
      <c r="BE39" s="1"/>
      <c r="BF39" s="1"/>
      <c r="BG39" s="1"/>
      <c r="BH39" s="1"/>
      <c r="BI39" s="1"/>
      <c r="BJ39" s="1"/>
      <c r="BK39" s="1"/>
      <c r="BL39" s="1"/>
      <c r="BM39" s="4"/>
      <c r="BN39" s="4"/>
      <c r="BO39" s="7"/>
      <c r="BP39" s="6"/>
    </row>
    <row customHeight="true" ht="19" r="40">
      <c r="A40" s="2" t="str">
        <v>RIAU002011</v>
      </c>
      <c r="B40" s="9">
        <v>1244567891131</v>
      </c>
      <c r="C40" s="2" t="str">
        <v>Riau Candles (L)</v>
      </c>
      <c r="D40" s="2" t="str">
        <v>Merry Mistletoe</v>
      </c>
      <c r="E40" s="5">
        <v>40</v>
      </c>
      <c r="F40" s="5">
        <v>19.5</v>
      </c>
      <c r="G40" s="1">
        <v>3</v>
      </c>
      <c r="H40" s="1"/>
      <c r="I40" s="1"/>
      <c r="J40" s="3"/>
      <c r="K40" s="3"/>
      <c r="L40" s="3"/>
      <c r="M40" s="3"/>
      <c r="N40" s="1"/>
      <c r="O40" s="3"/>
      <c r="P40" s="3"/>
      <c r="Q40" s="3"/>
      <c r="R40" s="3"/>
      <c r="S40" s="3">
        <v>4</v>
      </c>
      <c r="T40" s="3"/>
      <c r="U40" s="3"/>
      <c r="V40" s="3"/>
      <c r="W40" s="3"/>
      <c r="X40" s="3"/>
      <c r="Y40" s="3"/>
      <c r="Z40" s="3"/>
      <c r="AA40" s="3"/>
      <c r="AB40" s="3"/>
      <c r="AC40" s="3">
        <v>-2</v>
      </c>
      <c r="AD40" s="3"/>
      <c r="AE40" s="3"/>
      <c r="AF40" s="3"/>
      <c r="AG40" s="3"/>
      <c r="AH40" s="3"/>
      <c r="AI40" s="1"/>
      <c r="AJ40" s="1"/>
      <c r="AK40" s="1"/>
      <c r="AL40" s="4"/>
      <c r="AM40" s="4"/>
      <c r="AN40" s="4">
        <v>2</v>
      </c>
      <c r="AO40" s="4"/>
      <c r="AP40" s="4"/>
      <c r="AQ40" s="4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>
        <v>2</v>
      </c>
      <c r="BK40" s="1"/>
      <c r="BL40" s="1"/>
      <c r="BM40" s="4"/>
      <c r="BN40" s="4"/>
      <c r="BO40" s="7"/>
      <c r="BP40" s="6"/>
    </row>
    <row customHeight="true" ht="19" r="41">
      <c r="A41" s="2" t="str">
        <v>RIAU002016</v>
      </c>
      <c r="B41" s="9">
        <v>1244567891148</v>
      </c>
      <c r="C41" s="2" t="str">
        <v>Riau Candles (L)</v>
      </c>
      <c r="D41" s="8" t="str">
        <v>Mountain Rain</v>
      </c>
      <c r="E41" s="5">
        <v>40</v>
      </c>
      <c r="F41" s="5">
        <v>19.5</v>
      </c>
      <c r="G41" s="1">
        <v>5</v>
      </c>
      <c r="H41" s="1"/>
      <c r="I41" s="1"/>
      <c r="J41" s="3"/>
      <c r="K41" s="3"/>
      <c r="L41" s="3"/>
      <c r="M41" s="3"/>
      <c r="N41" s="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>
        <v>4</v>
      </c>
      <c r="AA41" s="3"/>
      <c r="AB41" s="3"/>
      <c r="AC41" s="3"/>
      <c r="AD41" s="3"/>
      <c r="AE41" s="3"/>
      <c r="AF41" s="3">
        <v>4</v>
      </c>
      <c r="AG41" s="3"/>
      <c r="AH41" s="3"/>
      <c r="AI41" s="1"/>
      <c r="AJ41" s="1"/>
      <c r="AK41" s="1"/>
      <c r="AL41" s="4"/>
      <c r="AM41" s="4"/>
      <c r="AN41" s="4"/>
      <c r="AO41" s="4"/>
      <c r="AP41" s="4"/>
      <c r="AQ41" s="4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4"/>
      <c r="BN41" s="4"/>
      <c r="BO41" s="7"/>
      <c r="BP41" s="6"/>
    </row>
    <row customHeight="true" ht="19" r="42">
      <c r="A42" s="2" t="str">
        <v>RIAU002012</v>
      </c>
      <c r="B42" s="9">
        <v>1244567891155</v>
      </c>
      <c r="C42" s="2" t="str">
        <v>Riau Candles (L)</v>
      </c>
      <c r="D42" s="8" t="str">
        <v>Sandalwood &amp; Citrus</v>
      </c>
      <c r="E42" s="5">
        <v>40</v>
      </c>
      <c r="F42" s="5">
        <v>19.5</v>
      </c>
      <c r="G42" s="1">
        <v>5</v>
      </c>
      <c r="H42" s="1"/>
      <c r="I42" s="1"/>
      <c r="J42" s="3"/>
      <c r="K42" s="3"/>
      <c r="L42" s="3"/>
      <c r="M42" s="3"/>
      <c r="N42" s="1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4</v>
      </c>
      <c r="AA42" s="3">
        <v>3</v>
      </c>
      <c r="AB42" s="3"/>
      <c r="AC42" s="3"/>
      <c r="AD42" s="3"/>
      <c r="AE42" s="3"/>
      <c r="AF42" s="3"/>
      <c r="AG42" s="3"/>
      <c r="AH42" s="3"/>
      <c r="AI42" s="1">
        <v>2</v>
      </c>
      <c r="AJ42" s="1"/>
      <c r="AK42" s="1"/>
      <c r="AL42" s="4"/>
      <c r="AM42" s="4"/>
      <c r="AN42" s="4"/>
      <c r="AO42" s="4"/>
      <c r="AP42" s="4"/>
      <c r="AQ42" s="4"/>
      <c r="AR42" s="1"/>
      <c r="AS42" s="1"/>
      <c r="AT42" s="1"/>
      <c r="AU42" s="1"/>
      <c r="AV42" s="1"/>
      <c r="AW42" s="1">
        <v>3</v>
      </c>
      <c r="AX42" s="1"/>
      <c r="AY42" s="1"/>
      <c r="AZ42" s="1"/>
      <c r="BA42" s="1"/>
      <c r="BB42" s="1"/>
      <c r="BC42" s="1">
        <v>2</v>
      </c>
      <c r="BD42" s="1"/>
      <c r="BE42" s="1"/>
      <c r="BF42" s="1"/>
      <c r="BG42" s="1"/>
      <c r="BH42" s="1"/>
      <c r="BI42" s="1"/>
      <c r="BJ42" s="1"/>
      <c r="BK42" s="1"/>
      <c r="BL42" s="1"/>
      <c r="BM42" s="4"/>
      <c r="BN42" s="4"/>
      <c r="BO42" s="2"/>
      <c r="BP42" s="6"/>
    </row>
    <row customHeight="true" ht="19" r="43">
      <c r="A43" s="2" t="str">
        <v>RIAU002013</v>
      </c>
      <c r="B43" s="9">
        <v>1244567891162</v>
      </c>
      <c r="C43" s="2" t="str">
        <v>Riau Candles (L)</v>
      </c>
      <c r="D43" s="2" t="str">
        <v>Spice Market</v>
      </c>
      <c r="E43" s="5">
        <v>40</v>
      </c>
      <c r="F43" s="5">
        <v>19.5</v>
      </c>
      <c r="G43" s="1">
        <v>5</v>
      </c>
      <c r="H43" s="1"/>
      <c r="I43" s="1"/>
      <c r="J43" s="3"/>
      <c r="K43" s="3"/>
      <c r="L43" s="3"/>
      <c r="M43" s="3"/>
      <c r="N43" s="1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1"/>
      <c r="AJ43" s="1"/>
      <c r="AK43" s="1"/>
      <c r="AL43" s="4"/>
      <c r="AM43" s="4"/>
      <c r="AN43" s="4"/>
      <c r="AO43" s="4"/>
      <c r="AP43" s="4"/>
      <c r="AQ43" s="4">
        <v>-1</v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>
        <v>2</v>
      </c>
      <c r="BK43" s="1"/>
      <c r="BL43" s="1"/>
      <c r="BM43" s="4"/>
      <c r="BN43" s="4"/>
      <c r="BO43" s="7"/>
      <c r="BP43" s="6"/>
    </row>
    <row customHeight="true" ht="19" r="44">
      <c r="A44" s="2"/>
      <c r="B44" s="9">
        <v>2502210909244</v>
      </c>
      <c r="C44" s="2" t="str">
        <v>Riau Candles (L)</v>
      </c>
      <c r="D44" s="2" t="str">
        <v>Tonka &amp; Oud</v>
      </c>
      <c r="E44" s="5">
        <v>40</v>
      </c>
      <c r="F44" s="5">
        <v>19.5</v>
      </c>
      <c r="G44" s="1"/>
      <c r="H44" s="1"/>
      <c r="I44" s="1"/>
      <c r="J44" s="3"/>
      <c r="K44" s="3"/>
      <c r="L44" s="3"/>
      <c r="M44" s="3"/>
      <c r="N44" s="1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1"/>
      <c r="AJ44" s="1"/>
      <c r="AK44" s="1"/>
      <c r="AL44" s="4"/>
      <c r="AM44" s="4"/>
      <c r="AN44" s="4"/>
      <c r="AO44" s="4"/>
      <c r="AP44" s="4"/>
      <c r="AQ44" s="4"/>
      <c r="AR44" s="1"/>
      <c r="AS44" s="1"/>
      <c r="AT44" s="1"/>
      <c r="AU44" s="1"/>
      <c r="AV44" s="1"/>
      <c r="AW44" s="1">
        <v>2</v>
      </c>
      <c r="AX44" s="1"/>
      <c r="AY44" s="1"/>
      <c r="AZ44" s="1"/>
      <c r="BA44" s="1"/>
      <c r="BB44" s="1"/>
      <c r="BC44" s="1">
        <v>4</v>
      </c>
      <c r="BD44" s="1"/>
      <c r="BE44" s="1"/>
      <c r="BF44" s="1"/>
      <c r="BG44" s="1"/>
      <c r="BH44" s="1"/>
      <c r="BI44" s="1"/>
      <c r="BJ44" s="1"/>
      <c r="BK44" s="1"/>
      <c r="BL44" s="1"/>
      <c r="BM44" s="4"/>
      <c r="BN44" s="4"/>
      <c r="BO44" s="7"/>
      <c r="BP44" s="6"/>
    </row>
    <row customHeight="true" ht="19" r="45">
      <c r="A45" s="2"/>
      <c r="B45" s="9">
        <v>1244567891179</v>
      </c>
      <c r="C45" s="2" t="str">
        <v>Riau Candles (L)</v>
      </c>
      <c r="D45" s="8" t="str">
        <v>Vanilla &amp; Spice</v>
      </c>
      <c r="E45" s="5">
        <v>40</v>
      </c>
      <c r="F45" s="5">
        <v>19.5</v>
      </c>
      <c r="G45" s="1">
        <v>9</v>
      </c>
      <c r="H45" s="1"/>
      <c r="I45" s="1"/>
      <c r="J45" s="3"/>
      <c r="K45" s="3"/>
      <c r="L45" s="3"/>
      <c r="M45" s="3"/>
      <c r="N45" s="1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1"/>
      <c r="AJ45" s="1"/>
      <c r="AK45" s="1"/>
      <c r="AL45" s="4"/>
      <c r="AM45" s="4"/>
      <c r="AN45" s="4"/>
      <c r="AO45" s="4"/>
      <c r="AP45" s="4"/>
      <c r="AQ45" s="4"/>
      <c r="AR45" s="1"/>
      <c r="AS45" s="1"/>
      <c r="AT45" s="1"/>
      <c r="AU45" s="1"/>
      <c r="AV45" s="1">
        <v>-2</v>
      </c>
      <c r="AW45" s="1"/>
      <c r="AX45" s="1">
        <v>-1</v>
      </c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>
        <v>1</v>
      </c>
      <c r="BM45" s="4"/>
      <c r="BN45" s="4"/>
      <c r="BO45" s="7"/>
      <c r="BP45" s="6"/>
    </row>
    <row customHeight="true" ht="19" r="46">
      <c r="A46" s="2"/>
      <c r="B46" s="9">
        <v>1244567891186</v>
      </c>
      <c r="C46" s="2" t="str">
        <v>Riau Candles (L)</v>
      </c>
      <c r="D46" s="8" t="str">
        <v>White Lily</v>
      </c>
      <c r="E46" s="5">
        <v>40</v>
      </c>
      <c r="F46" s="5">
        <v>19.5</v>
      </c>
      <c r="G46" s="1">
        <v>3</v>
      </c>
      <c r="H46" s="1"/>
      <c r="I46" s="1"/>
      <c r="J46" s="3"/>
      <c r="K46" s="3"/>
      <c r="L46" s="3"/>
      <c r="M46" s="3"/>
      <c r="N46" s="1">
        <v>3</v>
      </c>
      <c r="O46" s="3"/>
      <c r="P46" s="3"/>
      <c r="Q46" s="3"/>
      <c r="R46" s="3"/>
      <c r="S46" s="3">
        <v>2</v>
      </c>
      <c r="T46" s="3"/>
      <c r="U46" s="3"/>
      <c r="V46" s="3"/>
      <c r="W46" s="3"/>
      <c r="X46" s="3"/>
      <c r="Y46" s="3"/>
      <c r="Z46" s="3"/>
      <c r="AA46" s="3"/>
      <c r="AB46" s="3">
        <v>1</v>
      </c>
      <c r="AC46" s="3">
        <v>-2</v>
      </c>
      <c r="AD46" s="3"/>
      <c r="AE46" s="3"/>
      <c r="AF46" s="3">
        <v>2</v>
      </c>
      <c r="AG46" s="3"/>
      <c r="AH46" s="3"/>
      <c r="AI46" s="1"/>
      <c r="AJ46" s="1"/>
      <c r="AK46" s="1"/>
      <c r="AL46" s="4"/>
      <c r="AM46" s="4"/>
      <c r="AN46" s="4"/>
      <c r="AO46" s="4"/>
      <c r="AP46" s="4"/>
      <c r="AQ46" s="4"/>
      <c r="AR46" s="1">
        <v>-1</v>
      </c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4"/>
      <c r="BN46" s="4"/>
      <c r="BO46" s="7"/>
      <c r="BP46" s="6"/>
    </row>
    <row customHeight="true" ht="19" r="47">
      <c r="A47" s="2" t="str">
        <v>RIAU002006</v>
      </c>
      <c r="B47" s="9">
        <v>1244567891193</v>
      </c>
      <c r="C47" s="2" t="str">
        <v>Riau Candles (L)</v>
      </c>
      <c r="D47" s="8" t="str">
        <v>Wild Rose</v>
      </c>
      <c r="E47" s="5">
        <v>40</v>
      </c>
      <c r="F47" s="5">
        <v>19.5</v>
      </c>
      <c r="G47" s="1">
        <v>5</v>
      </c>
      <c r="H47" s="1"/>
      <c r="I47" s="1"/>
      <c r="J47" s="3"/>
      <c r="K47" s="3"/>
      <c r="L47" s="3"/>
      <c r="M47" s="3"/>
      <c r="N47" s="1"/>
      <c r="O47" s="3"/>
      <c r="P47" s="3">
        <v>4</v>
      </c>
      <c r="Q47" s="3"/>
      <c r="R47" s="3"/>
      <c r="S47" s="3"/>
      <c r="T47" s="3"/>
      <c r="U47" s="3"/>
      <c r="V47" s="3">
        <v>3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>
        <v>4</v>
      </c>
      <c r="AI47" s="1"/>
      <c r="AJ47" s="1"/>
      <c r="AK47" s="1"/>
      <c r="AL47" s="4"/>
      <c r="AM47" s="4"/>
      <c r="AN47" s="4"/>
      <c r="AO47" s="4"/>
      <c r="AP47" s="4"/>
      <c r="AQ47" s="4"/>
      <c r="AR47" s="1"/>
      <c r="AS47" s="1"/>
      <c r="AT47" s="1"/>
      <c r="AU47" s="1"/>
      <c r="AV47" s="1"/>
      <c r="AW47" s="1">
        <v>2</v>
      </c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4"/>
      <c r="BN47" s="4"/>
      <c r="BO47" s="7"/>
      <c r="BP47" s="6"/>
    </row>
    <row customHeight="true" ht="19" r="48">
      <c r="A48" s="42"/>
      <c r="B48" s="17"/>
      <c r="C48" s="16"/>
      <c r="D48" s="16"/>
      <c r="E48" s="16"/>
      <c r="F48" s="16"/>
      <c r="G48" s="43"/>
      <c r="H48" s="43"/>
      <c r="I48" s="43"/>
      <c r="J48" s="16"/>
      <c r="K48" s="16"/>
      <c r="L48" s="16"/>
      <c r="M48" s="16"/>
      <c r="N48" s="16">
        <f>sum(N24:N47)</f>
      </c>
      <c r="O48" s="16">
        <f>sum(O24:O47)</f>
      </c>
      <c r="P48" s="16">
        <f>sum(P24:P47)</f>
      </c>
      <c r="Q48" s="16"/>
      <c r="R48" s="16">
        <f>sum(R24:R47)</f>
      </c>
      <c r="S48" s="16">
        <f>sum(S24:S47)</f>
      </c>
      <c r="T48" s="16">
        <f>sum(T24:T47)</f>
      </c>
      <c r="U48" s="16">
        <f>sum(U24:U47)</f>
      </c>
      <c r="V48" s="16">
        <f>SUM(V24:V47)</f>
      </c>
      <c r="W48" s="16">
        <f>SUM(W24:W47)</f>
      </c>
      <c r="X48" s="16">
        <f>SUM(X24:X47)</f>
      </c>
      <c r="Y48" s="16">
        <f>SUM(Y24:Y47)</f>
      </c>
      <c r="Z48" s="16">
        <f>sum(Z24:Z47)</f>
      </c>
      <c r="AA48" s="16">
        <f>sum(AA24:AA47)</f>
      </c>
      <c r="AB48" s="16">
        <f>sum(AB24:AB47)</f>
      </c>
      <c r="AC48" s="16">
        <f>sum(AC24:AC47)</f>
      </c>
      <c r="AD48" s="16">
        <f>sum(AD24:AD47)</f>
      </c>
      <c r="AE48" s="16">
        <f>sum(AE24:AE47)</f>
      </c>
      <c r="AF48" s="16">
        <f>sum(AF24:AF47)</f>
      </c>
      <c r="AG48" s="16">
        <f>sum(AG24:AG47)</f>
      </c>
      <c r="AH48" s="16">
        <f>sum(AH24:AH47)</f>
      </c>
      <c r="AI48" s="16">
        <f>sum(AI24:AI47)</f>
      </c>
      <c r="AJ48" s="16">
        <f>sum(AJ24:AJ47)</f>
      </c>
      <c r="AK48" s="16">
        <f>sum(AK24:AK47)</f>
      </c>
      <c r="AL48" s="16">
        <f>sum(AL24:AL47)</f>
      </c>
      <c r="AM48" s="16">
        <f>sum(AM24:AM47)</f>
      </c>
      <c r="AN48" s="16">
        <f>sum(AN24:AN47)</f>
      </c>
      <c r="AO48" s="16">
        <f>sum(AO24:AO47)</f>
      </c>
      <c r="AP48" s="16">
        <f>sum(AP24:AP47)</f>
      </c>
      <c r="AQ48" s="16">
        <f>sum(AQ24:AQ47)</f>
      </c>
      <c r="AR48" s="16">
        <f>sum(AR24:AR47)</f>
      </c>
      <c r="AS48" s="16">
        <f>sum(AS24:AS47)</f>
      </c>
      <c r="AT48" s="16">
        <f>sum(AT24:AT47)</f>
      </c>
      <c r="AU48" s="16">
        <f>sum(AU24:AU47)</f>
      </c>
      <c r="AV48" s="16">
        <f>sum(AV24:AV47)</f>
      </c>
      <c r="AW48" s="16">
        <f>sum(AW24:AW47)</f>
      </c>
      <c r="AX48" s="16">
        <f>sum(AX24:AX47)</f>
      </c>
      <c r="AY48" s="16">
        <f>sum(AY24:AY47)</f>
      </c>
      <c r="AZ48" s="16">
        <f>sum(AZ24:AZ47)</f>
      </c>
      <c r="BA48" s="16">
        <f>sum(BA24:BA47)</f>
      </c>
      <c r="BB48" s="16">
        <f>sum(BB24:BB47)</f>
      </c>
      <c r="BC48" s="16">
        <f>sum(BC24:BC47)</f>
      </c>
      <c r="BD48" s="16">
        <f>sum(BD24:BD47)</f>
      </c>
      <c r="BE48" s="16">
        <f>sum(BE24:BE47)</f>
      </c>
      <c r="BF48" s="16">
        <f>sum(BF24:BF47)</f>
      </c>
      <c r="BG48" s="16">
        <f>sum(BG24:BG47)</f>
      </c>
      <c r="BH48" s="16">
        <f>sum(BH24:BH47)</f>
      </c>
      <c r="BI48" s="16">
        <f>sum(BI24:BI47)</f>
      </c>
      <c r="BJ48" s="16">
        <f>sum(BJ24:BJ47)</f>
      </c>
      <c r="BK48" s="16">
        <f>sum(BK24:BK47)</f>
      </c>
      <c r="BL48" s="16">
        <f>sum(BL24:BL47)</f>
      </c>
      <c r="BM48" s="16">
        <f>sum(BM24:BM47)</f>
      </c>
      <c r="BN48" s="16"/>
      <c r="BO48" s="16"/>
      <c r="BP48" s="16"/>
    </row>
    <row customHeight="true" ht="19" r="49">
      <c r="A49" s="2" t="str">
        <v>RIAU004013</v>
      </c>
      <c r="B49" s="9">
        <v>1224567891010</v>
      </c>
      <c r="C49" s="2" t="str">
        <v>Riau Candles (M)</v>
      </c>
      <c r="D49" s="8" t="str">
        <v>Amber &amp; Ash</v>
      </c>
      <c r="E49" s="5">
        <v>30</v>
      </c>
      <c r="F49" s="5">
        <v>13</v>
      </c>
      <c r="G49" s="1">
        <v>8</v>
      </c>
      <c r="H49" s="1"/>
      <c r="I49" s="1"/>
      <c r="J49" s="3"/>
      <c r="K49" s="3"/>
      <c r="L49" s="3"/>
      <c r="M49" s="3"/>
      <c r="N49" s="1"/>
      <c r="O49" s="3"/>
      <c r="P49" s="3"/>
      <c r="Q49" s="3"/>
      <c r="R49" s="3"/>
      <c r="S49" s="3">
        <v>4</v>
      </c>
      <c r="T49" s="3"/>
      <c r="U49" s="3"/>
      <c r="V49" s="3"/>
      <c r="W49" s="3"/>
      <c r="X49" s="3"/>
      <c r="Y49" s="3"/>
      <c r="Z49" s="3"/>
      <c r="AA49" s="3">
        <v>2</v>
      </c>
      <c r="AB49" s="3"/>
      <c r="AC49" s="3"/>
      <c r="AD49" s="3"/>
      <c r="AE49" s="3"/>
      <c r="AF49" s="3"/>
      <c r="AG49" s="3"/>
      <c r="AH49" s="3">
        <v>2</v>
      </c>
      <c r="AI49" s="1"/>
      <c r="AJ49" s="1"/>
      <c r="AK49" s="1"/>
      <c r="AL49" s="4">
        <v>6</v>
      </c>
      <c r="AM49" s="4"/>
      <c r="AN49" s="4">
        <v>2</v>
      </c>
      <c r="AO49" s="4"/>
      <c r="AP49" s="4"/>
      <c r="AQ49" s="4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>
        <v>2</v>
      </c>
      <c r="BD49" s="1"/>
      <c r="BE49" s="1"/>
      <c r="BF49" s="1"/>
      <c r="BG49" s="1"/>
      <c r="BH49" s="1">
        <v>-1</v>
      </c>
      <c r="BI49" s="1"/>
      <c r="BJ49" s="1">
        <v>4</v>
      </c>
      <c r="BK49" s="1"/>
      <c r="BL49" s="1"/>
      <c r="BM49" s="4"/>
      <c r="BN49" s="4"/>
      <c r="BO49" s="2"/>
      <c r="BP49" s="6"/>
    </row>
    <row customHeight="true" ht="19" r="50">
      <c r="A50" s="2"/>
      <c r="B50" s="9">
        <v>2210032311199</v>
      </c>
      <c r="C50" s="2" t="str">
        <v>Riau Candles (M)</v>
      </c>
      <c r="D50" s="2" t="str">
        <v>Brown Sugar &amp; Fig</v>
      </c>
      <c r="E50" s="5">
        <v>30</v>
      </c>
      <c r="F50" s="5">
        <v>13</v>
      </c>
      <c r="G50" s="1"/>
      <c r="H50" s="1"/>
      <c r="I50" s="1"/>
      <c r="J50" s="3"/>
      <c r="K50" s="3"/>
      <c r="L50" s="3"/>
      <c r="M50" s="3"/>
      <c r="N50" s="1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1"/>
      <c r="AJ50" s="1"/>
      <c r="AK50" s="1"/>
      <c r="AL50" s="4"/>
      <c r="AM50" s="4"/>
      <c r="AN50" s="4"/>
      <c r="AO50" s="4"/>
      <c r="AP50" s="4"/>
      <c r="AQ50" s="4"/>
      <c r="AR50" s="1"/>
      <c r="AS50" s="1"/>
      <c r="AT50" s="1"/>
      <c r="AU50" s="1"/>
      <c r="AV50" s="1"/>
      <c r="AW50" s="1">
        <v>4</v>
      </c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4"/>
      <c r="BN50" s="4"/>
      <c r="BO50" s="7"/>
      <c r="BP50" s="6"/>
    </row>
    <row customHeight="true" ht="19" r="51">
      <c r="A51" s="2" t="str">
        <v>RIAU004018</v>
      </c>
      <c r="B51" s="9">
        <v>1224567891027</v>
      </c>
      <c r="C51" s="2" t="str">
        <v>Riau Candles (M)</v>
      </c>
      <c r="D51" s="8" t="str">
        <v>Christmas Tree</v>
      </c>
      <c r="E51" s="5">
        <v>30</v>
      </c>
      <c r="F51" s="5">
        <v>13</v>
      </c>
      <c r="G51" s="1">
        <v>4</v>
      </c>
      <c r="H51" s="1"/>
      <c r="I51" s="1"/>
      <c r="J51" s="3"/>
      <c r="K51" s="3"/>
      <c r="L51" s="3"/>
      <c r="M51" s="3"/>
      <c r="N51" s="1"/>
      <c r="O51" s="3"/>
      <c r="P51" s="3"/>
      <c r="Q51" s="3"/>
      <c r="R51" s="3"/>
      <c r="S51" s="3">
        <v>4</v>
      </c>
      <c r="T51" s="3"/>
      <c r="U51" s="3">
        <v>-2</v>
      </c>
      <c r="V51" s="3">
        <v>4</v>
      </c>
      <c r="W51" s="3">
        <v>2</v>
      </c>
      <c r="X51" s="3"/>
      <c r="Y51" s="3"/>
      <c r="Z51" s="3">
        <v>4</v>
      </c>
      <c r="AA51" s="3">
        <v>2</v>
      </c>
      <c r="AB51" s="3"/>
      <c r="AC51" s="3"/>
      <c r="AD51" s="3"/>
      <c r="AE51" s="3">
        <v>2</v>
      </c>
      <c r="AF51" s="3">
        <v>6</v>
      </c>
      <c r="AG51" s="3"/>
      <c r="AH51" s="3"/>
      <c r="AI51" s="1"/>
      <c r="AJ51" s="1"/>
      <c r="AK51" s="1"/>
      <c r="AL51" s="4">
        <v>2</v>
      </c>
      <c r="AM51" s="4"/>
      <c r="AN51" s="4"/>
      <c r="AO51" s="4"/>
      <c r="AP51" s="4"/>
      <c r="AQ51" s="4"/>
      <c r="AR51" s="1"/>
      <c r="AS51" s="1"/>
      <c r="AT51" s="1"/>
      <c r="AU51" s="1"/>
      <c r="AV51" s="1"/>
      <c r="AW51" s="1">
        <v>4</v>
      </c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>
        <v>-2</v>
      </c>
      <c r="BI51" s="1"/>
      <c r="BJ51" s="1">
        <v>8</v>
      </c>
      <c r="BK51" s="1"/>
      <c r="BL51" s="1"/>
      <c r="BM51" s="4"/>
      <c r="BN51" s="4"/>
      <c r="BO51" s="7"/>
      <c r="BP51" s="6"/>
    </row>
    <row customHeight="true" ht="19" r="52">
      <c r="A52" s="2" t="str">
        <v>RIAU005012</v>
      </c>
      <c r="B52" s="9">
        <v>1224567891034</v>
      </c>
      <c r="C52" s="2" t="str">
        <v>Riau Candles (M)</v>
      </c>
      <c r="D52" s="2" t="str">
        <v>Clean Cotton</v>
      </c>
      <c r="E52" s="5">
        <v>30</v>
      </c>
      <c r="F52" s="5">
        <v>13</v>
      </c>
      <c r="G52" s="1"/>
      <c r="H52" s="1"/>
      <c r="I52" s="1"/>
      <c r="J52" s="3"/>
      <c r="K52" s="3"/>
      <c r="L52" s="3"/>
      <c r="M52" s="3"/>
      <c r="N52" s="1">
        <v>4</v>
      </c>
      <c r="O52" s="3"/>
      <c r="P52" s="3">
        <v>2</v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>
        <v>2</v>
      </c>
      <c r="AI52" s="1"/>
      <c r="AJ52" s="1"/>
      <c r="AK52" s="1"/>
      <c r="AL52" s="4"/>
      <c r="AM52" s="4"/>
      <c r="AN52" s="4"/>
      <c r="AO52" s="4"/>
      <c r="AP52" s="4"/>
      <c r="AQ52" s="4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>
        <v>4</v>
      </c>
      <c r="BD52" s="1"/>
      <c r="BE52" s="1"/>
      <c r="BF52" s="1"/>
      <c r="BG52" s="1"/>
      <c r="BH52" s="1"/>
      <c r="BI52" s="1"/>
      <c r="BJ52" s="1"/>
      <c r="BK52" s="1"/>
      <c r="BL52" s="1"/>
      <c r="BM52" s="4"/>
      <c r="BN52" s="4"/>
      <c r="BO52" s="7"/>
      <c r="BP52" s="6"/>
    </row>
    <row customHeight="true" ht="19" r="53">
      <c r="A53" s="2"/>
      <c r="B53" s="9">
        <v>2210032312011</v>
      </c>
      <c r="C53" s="2" t="str">
        <v>Riau Candles (M)</v>
      </c>
      <c r="D53" s="2" t="str">
        <v>Coffee &amp; Cream</v>
      </c>
      <c r="E53" s="5">
        <v>30</v>
      </c>
      <c r="F53" s="5">
        <v>13</v>
      </c>
      <c r="G53" s="1"/>
      <c r="H53" s="1"/>
      <c r="I53" s="1"/>
      <c r="J53" s="3"/>
      <c r="K53" s="3"/>
      <c r="L53" s="3"/>
      <c r="M53" s="3"/>
      <c r="N53" s="1"/>
      <c r="O53" s="3"/>
      <c r="P53" s="3"/>
      <c r="Q53" s="3"/>
      <c r="R53" s="3"/>
      <c r="S53" s="3"/>
      <c r="T53" s="3"/>
      <c r="U53" s="3"/>
      <c r="V53" s="3"/>
      <c r="W53" s="3"/>
      <c r="X53" s="3"/>
      <c r="Y53" s="3">
        <v>1</v>
      </c>
      <c r="Z53" s="3"/>
      <c r="AA53" s="3"/>
      <c r="AB53" s="3"/>
      <c r="AC53" s="3"/>
      <c r="AD53" s="3"/>
      <c r="AE53" s="3"/>
      <c r="AF53" s="3"/>
      <c r="AG53" s="3"/>
      <c r="AH53" s="3"/>
      <c r="AI53" s="1"/>
      <c r="AJ53" s="1"/>
      <c r="AK53" s="1"/>
      <c r="AL53" s="4"/>
      <c r="AM53" s="4"/>
      <c r="AN53" s="4"/>
      <c r="AO53" s="4"/>
      <c r="AP53" s="4"/>
      <c r="AQ53" s="4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>
        <v>4</v>
      </c>
      <c r="BD53" s="1"/>
      <c r="BE53" s="1"/>
      <c r="BF53" s="1"/>
      <c r="BG53" s="1"/>
      <c r="BH53" s="1"/>
      <c r="BI53" s="1"/>
      <c r="BJ53" s="1"/>
      <c r="BK53" s="1"/>
      <c r="BL53" s="1"/>
      <c r="BM53" s="4"/>
      <c r="BN53" s="4"/>
      <c r="BO53" s="7"/>
      <c r="BP53" s="6"/>
    </row>
    <row customHeight="true" ht="19" r="54">
      <c r="A54" s="2"/>
      <c r="B54" s="9">
        <v>2512161044079</v>
      </c>
      <c r="C54" s="2" t="str">
        <v>Riau Candles (M)</v>
      </c>
      <c r="D54" s="2" t="str">
        <v>Daydream</v>
      </c>
      <c r="E54" s="5">
        <v>30</v>
      </c>
      <c r="F54" s="5">
        <v>13</v>
      </c>
      <c r="G54" s="1"/>
      <c r="H54" s="1"/>
      <c r="I54" s="1"/>
      <c r="J54" s="3"/>
      <c r="K54" s="3"/>
      <c r="L54" s="3"/>
      <c r="M54" s="3"/>
      <c r="N54" s="1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1"/>
      <c r="AJ54" s="1"/>
      <c r="AK54" s="1"/>
      <c r="AL54" s="4"/>
      <c r="AM54" s="4"/>
      <c r="AN54" s="4"/>
      <c r="AO54" s="4"/>
      <c r="AP54" s="4"/>
      <c r="AQ54" s="4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>
        <v>4</v>
      </c>
      <c r="BK54" s="1"/>
      <c r="BL54" s="1"/>
      <c r="BM54" s="4"/>
      <c r="BN54" s="4"/>
      <c r="BO54" s="7"/>
      <c r="BP54" s="6"/>
    </row>
    <row customHeight="true" ht="19" r="55">
      <c r="A55" s="2" t="str">
        <v>RIAU005002</v>
      </c>
      <c r="B55" s="7">
        <v>2403121717075</v>
      </c>
      <c r="C55" s="2" t="str">
        <v>Riau Candles (M)</v>
      </c>
      <c r="D55" s="2" t="str">
        <v>Desert Sunset</v>
      </c>
      <c r="E55" s="5">
        <v>30</v>
      </c>
      <c r="F55" s="5">
        <v>13</v>
      </c>
      <c r="G55" s="1"/>
      <c r="H55" s="1"/>
      <c r="I55" s="1"/>
      <c r="J55" s="3"/>
      <c r="K55" s="3"/>
      <c r="L55" s="3"/>
      <c r="M55" s="3"/>
      <c r="N55" s="1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1">
        <v>4</v>
      </c>
      <c r="AJ55" s="1"/>
      <c r="AK55" s="1"/>
      <c r="AL55" s="4"/>
      <c r="AM55" s="4"/>
      <c r="AN55" s="4"/>
      <c r="AO55" s="4"/>
      <c r="AP55" s="4"/>
      <c r="AQ55" s="4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4"/>
      <c r="BN55" s="4"/>
      <c r="BO55" s="7"/>
      <c r="BP55" s="6"/>
    </row>
    <row customHeight="true" ht="19" r="56">
      <c r="A56" s="2" t="str">
        <v>RIAU004012</v>
      </c>
      <c r="B56" s="9">
        <v>1224567891041</v>
      </c>
      <c r="C56" s="2" t="str">
        <v>Riau Candles (M)</v>
      </c>
      <c r="D56" s="8" t="str">
        <v>Eucalyptus &amp; Mint</v>
      </c>
      <c r="E56" s="5">
        <v>30</v>
      </c>
      <c r="F56" s="5">
        <v>13</v>
      </c>
      <c r="G56" s="1">
        <v>8</v>
      </c>
      <c r="H56" s="1"/>
      <c r="I56" s="1"/>
      <c r="J56" s="3"/>
      <c r="K56" s="3"/>
      <c r="L56" s="3"/>
      <c r="M56" s="3"/>
      <c r="N56" s="1"/>
      <c r="O56" s="3"/>
      <c r="P56" s="3">
        <v>2</v>
      </c>
      <c r="Q56" s="3"/>
      <c r="R56" s="3"/>
      <c r="S56" s="3">
        <v>4</v>
      </c>
      <c r="T56" s="3"/>
      <c r="U56" s="3"/>
      <c r="V56" s="3"/>
      <c r="W56" s="3"/>
      <c r="X56" s="3"/>
      <c r="Y56" s="3"/>
      <c r="Z56" s="3"/>
      <c r="AA56" s="3"/>
      <c r="AB56" s="3">
        <v>2</v>
      </c>
      <c r="AC56" s="3"/>
      <c r="AD56" s="3"/>
      <c r="AE56" s="3"/>
      <c r="AF56" s="3"/>
      <c r="AG56" s="3"/>
      <c r="AH56" s="3">
        <v>2</v>
      </c>
      <c r="AI56" s="1"/>
      <c r="AJ56" s="1"/>
      <c r="AK56" s="1"/>
      <c r="AL56" s="4">
        <v>6</v>
      </c>
      <c r="AM56" s="4"/>
      <c r="AN56" s="4"/>
      <c r="AO56" s="4"/>
      <c r="AP56" s="4"/>
      <c r="AQ56" s="4"/>
      <c r="AR56" s="1"/>
      <c r="AS56" s="1"/>
      <c r="AT56" s="1"/>
      <c r="AU56" s="1"/>
      <c r="AV56" s="1"/>
      <c r="AW56" s="1">
        <v>2</v>
      </c>
      <c r="AX56" s="1"/>
      <c r="AY56" s="1"/>
      <c r="AZ56" s="1"/>
      <c r="BA56" s="1"/>
      <c r="BB56" s="1"/>
      <c r="BC56" s="1"/>
      <c r="BD56" s="1"/>
      <c r="BE56" s="1"/>
      <c r="BF56" s="1">
        <v>-1</v>
      </c>
      <c r="BG56" s="1"/>
      <c r="BH56" s="1">
        <v>-1</v>
      </c>
      <c r="BI56" s="1"/>
      <c r="BJ56" s="1">
        <v>4</v>
      </c>
      <c r="BK56" s="1"/>
      <c r="BL56" s="1"/>
      <c r="BM56" s="4"/>
      <c r="BN56" s="4"/>
      <c r="BO56" s="7"/>
      <c r="BP56" s="6"/>
    </row>
    <row customHeight="true" ht="19" r="57">
      <c r="A57" s="2" t="str">
        <v>RIAU005003</v>
      </c>
      <c r="B57" s="9">
        <v>1224567891058</v>
      </c>
      <c r="C57" s="2" t="str">
        <v>Riau Candles (M)</v>
      </c>
      <c r="D57" s="8" t="str">
        <v>Forest Berry</v>
      </c>
      <c r="E57" s="5">
        <v>30</v>
      </c>
      <c r="F57" s="5">
        <v>13</v>
      </c>
      <c r="G57" s="1">
        <v>6</v>
      </c>
      <c r="H57" s="1"/>
      <c r="I57" s="1"/>
      <c r="J57" s="3"/>
      <c r="K57" s="3"/>
      <c r="L57" s="3"/>
      <c r="M57" s="3"/>
      <c r="N57" s="1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2</v>
      </c>
      <c r="AC57" s="3"/>
      <c r="AD57" s="3"/>
      <c r="AE57" s="3"/>
      <c r="AF57" s="3"/>
      <c r="AG57" s="3"/>
      <c r="AH57" s="3">
        <v>2</v>
      </c>
      <c r="AI57" s="1"/>
      <c r="AJ57" s="1"/>
      <c r="AK57" s="1"/>
      <c r="AL57" s="4"/>
      <c r="AM57" s="4"/>
      <c r="AN57" s="4"/>
      <c r="AO57" s="4"/>
      <c r="AP57" s="4"/>
      <c r="AQ57" s="4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>
        <v>-1</v>
      </c>
      <c r="BI57" s="1"/>
      <c r="BJ57" s="1">
        <v>2</v>
      </c>
      <c r="BK57" s="1"/>
      <c r="BL57" s="1"/>
      <c r="BM57" s="4"/>
      <c r="BN57" s="4"/>
      <c r="BO57" s="7"/>
      <c r="BP57" s="6"/>
    </row>
    <row customHeight="true" ht="19" r="58">
      <c r="A58" s="2" t="str">
        <v>RIAU004001</v>
      </c>
      <c r="B58" s="9">
        <v>1224567891065</v>
      </c>
      <c r="C58" s="2" t="str">
        <v>Riau Candles (M)</v>
      </c>
      <c r="D58" s="22" t="str">
        <v>French Vanilla</v>
      </c>
      <c r="E58" s="5">
        <v>30</v>
      </c>
      <c r="F58" s="5">
        <v>13</v>
      </c>
      <c r="G58" s="1">
        <v>2</v>
      </c>
      <c r="H58" s="1"/>
      <c r="I58" s="1"/>
      <c r="J58" s="3"/>
      <c r="K58" s="3"/>
      <c r="L58" s="3"/>
      <c r="M58" s="3"/>
      <c r="N58" s="1"/>
      <c r="O58" s="3"/>
      <c r="P58" s="3"/>
      <c r="Q58" s="3"/>
      <c r="R58" s="3"/>
      <c r="S58" s="3">
        <v>4</v>
      </c>
      <c r="T58" s="3"/>
      <c r="U58" s="3"/>
      <c r="V58" s="3"/>
      <c r="W58" s="3"/>
      <c r="X58" s="3"/>
      <c r="Y58" s="3"/>
      <c r="Z58" s="3"/>
      <c r="AA58" s="3"/>
      <c r="AB58" s="3">
        <v>2</v>
      </c>
      <c r="AC58" s="3"/>
      <c r="AD58" s="3"/>
      <c r="AE58" s="3"/>
      <c r="AF58" s="3"/>
      <c r="AG58" s="3"/>
      <c r="AH58" s="3"/>
      <c r="AI58" s="1"/>
      <c r="AJ58" s="1"/>
      <c r="AK58" s="1"/>
      <c r="AL58" s="4">
        <v>2</v>
      </c>
      <c r="AM58" s="4"/>
      <c r="AN58" s="4"/>
      <c r="AO58" s="4"/>
      <c r="AP58" s="4"/>
      <c r="AQ58" s="4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>
        <v>3</v>
      </c>
      <c r="BD58" s="1"/>
      <c r="BE58" s="1"/>
      <c r="BF58" s="1"/>
      <c r="BG58" s="1"/>
      <c r="BH58" s="1"/>
      <c r="BI58" s="1"/>
      <c r="BJ58" s="1"/>
      <c r="BK58" s="1"/>
      <c r="BL58" s="1"/>
      <c r="BM58" s="4"/>
      <c r="BN58" s="4"/>
      <c r="BO58" s="7"/>
      <c r="BP58" s="6"/>
    </row>
    <row customHeight="true" ht="19" r="59">
      <c r="A59" s="2" t="str">
        <v>RIAU004011</v>
      </c>
      <c r="B59" s="9">
        <v>1224567891072</v>
      </c>
      <c r="C59" s="2" t="str">
        <v>Riau Candles (M)</v>
      </c>
      <c r="D59" s="2" t="str">
        <v>Honeysuckle Jasmine</v>
      </c>
      <c r="E59" s="5">
        <v>30</v>
      </c>
      <c r="F59" s="5">
        <v>13</v>
      </c>
      <c r="G59" s="1"/>
      <c r="H59" s="1"/>
      <c r="I59" s="1"/>
      <c r="J59" s="3"/>
      <c r="K59" s="3"/>
      <c r="L59" s="3"/>
      <c r="M59" s="3"/>
      <c r="N59" s="1">
        <v>4</v>
      </c>
      <c r="O59" s="3"/>
      <c r="P59" s="3"/>
      <c r="Q59" s="3"/>
      <c r="R59" s="3"/>
      <c r="S59" s="3"/>
      <c r="T59" s="3"/>
      <c r="U59" s="3"/>
      <c r="V59" s="3">
        <v>3</v>
      </c>
      <c r="W59" s="3"/>
      <c r="X59" s="3"/>
      <c r="Y59" s="3"/>
      <c r="Z59" s="3"/>
      <c r="AA59" s="3">
        <v>4</v>
      </c>
      <c r="AB59" s="3"/>
      <c r="AC59" s="3"/>
      <c r="AD59" s="3"/>
      <c r="AE59" s="3"/>
      <c r="AF59" s="3"/>
      <c r="AG59" s="3"/>
      <c r="AH59" s="3"/>
      <c r="AI59" s="1"/>
      <c r="AJ59" s="1"/>
      <c r="AK59" s="1"/>
      <c r="AL59" s="4">
        <v>4</v>
      </c>
      <c r="AM59" s="4"/>
      <c r="AN59" s="4"/>
      <c r="AO59" s="4"/>
      <c r="AP59" s="4"/>
      <c r="AQ59" s="4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4"/>
      <c r="BN59" s="4"/>
      <c r="BO59" s="7"/>
      <c r="BP59" s="6"/>
    </row>
    <row customHeight="true" ht="19" r="60">
      <c r="A60" s="2" t="str">
        <v>RIAU004014</v>
      </c>
      <c r="B60" s="9">
        <v>1224567891089</v>
      </c>
      <c r="C60" s="2" t="str">
        <v>Riau Candles (M)</v>
      </c>
      <c r="D60" s="22" t="str">
        <v>Island Coconut</v>
      </c>
      <c r="E60" s="5">
        <v>30</v>
      </c>
      <c r="F60" s="5">
        <v>13</v>
      </c>
      <c r="G60" s="1"/>
      <c r="H60" s="1"/>
      <c r="I60" s="1"/>
      <c r="J60" s="3"/>
      <c r="K60" s="3"/>
      <c r="L60" s="3"/>
      <c r="M60" s="3"/>
      <c r="N60" s="1">
        <v>5</v>
      </c>
      <c r="O60" s="3"/>
      <c r="P60" s="3"/>
      <c r="Q60" s="3"/>
      <c r="R60" s="3"/>
      <c r="S60" s="3"/>
      <c r="T60" s="3"/>
      <c r="U60" s="3"/>
      <c r="V60" s="3">
        <v>2</v>
      </c>
      <c r="W60" s="3"/>
      <c r="X60" s="3"/>
      <c r="Y60" s="3"/>
      <c r="Z60" s="3"/>
      <c r="AA60" s="3"/>
      <c r="AB60" s="3">
        <v>2</v>
      </c>
      <c r="AC60" s="3"/>
      <c r="AD60" s="3"/>
      <c r="AE60" s="3"/>
      <c r="AF60" s="3"/>
      <c r="AG60" s="3"/>
      <c r="AH60" s="3">
        <v>2</v>
      </c>
      <c r="AI60" s="1"/>
      <c r="AJ60" s="1"/>
      <c r="AK60" s="1">
        <v>2</v>
      </c>
      <c r="AL60" s="4">
        <v>2</v>
      </c>
      <c r="AM60" s="4"/>
      <c r="AN60" s="4"/>
      <c r="AO60" s="4"/>
      <c r="AP60" s="4"/>
      <c r="AQ60" s="4"/>
      <c r="AR60" s="1"/>
      <c r="AS60" s="1"/>
      <c r="AT60" s="1"/>
      <c r="AU60" s="1"/>
      <c r="AV60" s="1"/>
      <c r="AW60" s="1"/>
      <c r="AX60" s="1"/>
      <c r="AY60" s="1"/>
      <c r="AZ60" s="1"/>
      <c r="BA60" s="1">
        <v>-2</v>
      </c>
      <c r="BB60" s="1"/>
      <c r="BC60" s="1">
        <v>2</v>
      </c>
      <c r="BD60" s="1"/>
      <c r="BE60" s="1"/>
      <c r="BF60" s="1"/>
      <c r="BG60" s="1"/>
      <c r="BH60" s="1"/>
      <c r="BI60" s="1"/>
      <c r="BJ60" s="1"/>
      <c r="BK60" s="1"/>
      <c r="BL60" s="1"/>
      <c r="BM60" s="4"/>
      <c r="BN60" s="4"/>
      <c r="BO60" s="7"/>
      <c r="BP60" s="6"/>
    </row>
    <row customHeight="true" ht="19" r="61">
      <c r="A61" s="2" t="str">
        <v>RIAU004014</v>
      </c>
      <c r="B61" s="9">
        <v>1224567891096</v>
      </c>
      <c r="C61" s="2" t="str">
        <v>Riau Candles (M)</v>
      </c>
      <c r="D61" s="8" t="str">
        <v>Island Driftwood</v>
      </c>
      <c r="E61" s="5">
        <v>30</v>
      </c>
      <c r="F61" s="5">
        <v>13</v>
      </c>
      <c r="G61" s="1">
        <v>7</v>
      </c>
      <c r="H61" s="1"/>
      <c r="I61" s="1"/>
      <c r="J61" s="3"/>
      <c r="K61" s="3"/>
      <c r="L61" s="3"/>
      <c r="M61" s="3"/>
      <c r="N61" s="1"/>
      <c r="O61" s="3"/>
      <c r="P61" s="3">
        <v>3</v>
      </c>
      <c r="Q61" s="3"/>
      <c r="R61" s="3"/>
      <c r="S61" s="3"/>
      <c r="T61" s="3">
        <v>2</v>
      </c>
      <c r="U61" s="3"/>
      <c r="V61" s="3"/>
      <c r="W61" s="3"/>
      <c r="X61" s="3"/>
      <c r="Y61" s="3"/>
      <c r="Z61" s="3"/>
      <c r="AA61" s="3">
        <v>4</v>
      </c>
      <c r="AB61" s="3"/>
      <c r="AC61" s="3"/>
      <c r="AD61" s="3"/>
      <c r="AE61" s="3"/>
      <c r="AF61" s="3">
        <v>4</v>
      </c>
      <c r="AG61" s="3"/>
      <c r="AH61" s="3">
        <v>2</v>
      </c>
      <c r="AI61" s="1">
        <v>4</v>
      </c>
      <c r="AJ61" s="1"/>
      <c r="AK61" s="1"/>
      <c r="AL61" s="4"/>
      <c r="AM61" s="4"/>
      <c r="AN61" s="4">
        <v>4</v>
      </c>
      <c r="AO61" s="4"/>
      <c r="AP61" s="4"/>
      <c r="AQ61" s="4"/>
      <c r="AR61" s="1"/>
      <c r="AS61" s="1"/>
      <c r="AT61" s="1"/>
      <c r="AU61" s="1"/>
      <c r="AV61" s="1"/>
      <c r="AW61" s="1">
        <v>2</v>
      </c>
      <c r="AX61" s="1"/>
      <c r="AY61" s="1"/>
      <c r="AZ61" s="1"/>
      <c r="BA61" s="1">
        <v>-1</v>
      </c>
      <c r="BB61" s="1"/>
      <c r="BC61" s="1"/>
      <c r="BD61" s="1"/>
      <c r="BE61" s="1"/>
      <c r="BF61" s="1"/>
      <c r="BG61" s="1"/>
      <c r="BH61" s="1">
        <v>-1</v>
      </c>
      <c r="BI61" s="1"/>
      <c r="BJ61" s="1"/>
      <c r="BK61" s="1"/>
      <c r="BL61" s="1"/>
      <c r="BM61" s="4"/>
      <c r="BN61" s="4"/>
      <c r="BO61" s="7"/>
      <c r="BP61" s="6"/>
    </row>
    <row customHeight="true" ht="19" r="62">
      <c r="A62" s="2" t="str">
        <v>RIAU005011</v>
      </c>
      <c r="B62" s="9">
        <v>1224567891119</v>
      </c>
      <c r="C62" s="2" t="str">
        <v>Riau Candles (M)</v>
      </c>
      <c r="D62" s="2" t="str">
        <v>Lavender</v>
      </c>
      <c r="E62" s="5">
        <v>30</v>
      </c>
      <c r="F62" s="5">
        <v>13</v>
      </c>
      <c r="G62" s="1">
        <v>1</v>
      </c>
      <c r="H62" s="1"/>
      <c r="I62" s="1"/>
      <c r="J62" s="3"/>
      <c r="K62" s="3"/>
      <c r="L62" s="3"/>
      <c r="M62" s="3"/>
      <c r="N62" s="1">
        <v>4</v>
      </c>
      <c r="O62" s="3"/>
      <c r="P62" s="3"/>
      <c r="Q62" s="3"/>
      <c r="R62" s="3"/>
      <c r="S62" s="3"/>
      <c r="T62" s="3"/>
      <c r="U62" s="3"/>
      <c r="V62" s="3">
        <v>2</v>
      </c>
      <c r="W62" s="3"/>
      <c r="X62" s="3"/>
      <c r="Y62" s="3"/>
      <c r="Z62" s="3"/>
      <c r="AA62" s="3"/>
      <c r="AB62" s="3">
        <v>2</v>
      </c>
      <c r="AC62" s="3"/>
      <c r="AD62" s="3"/>
      <c r="AE62" s="3"/>
      <c r="AF62" s="3">
        <v>2</v>
      </c>
      <c r="AG62" s="3"/>
      <c r="AH62" s="3">
        <v>2</v>
      </c>
      <c r="AI62" s="1"/>
      <c r="AJ62" s="1"/>
      <c r="AK62" s="1"/>
      <c r="AL62" s="4"/>
      <c r="AM62" s="4"/>
      <c r="AN62" s="4"/>
      <c r="AO62" s="4"/>
      <c r="AP62" s="4"/>
      <c r="AQ62" s="4"/>
      <c r="AR62" s="1"/>
      <c r="AS62" s="1"/>
      <c r="AT62" s="1"/>
      <c r="AU62" s="1"/>
      <c r="AV62" s="1"/>
      <c r="AW62" s="1">
        <v>2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4"/>
      <c r="BN62" s="4"/>
      <c r="BO62" s="7"/>
      <c r="BP62" s="6"/>
    </row>
    <row customHeight="true" ht="19" r="63">
      <c r="A63" s="2" t="str">
        <v>RIAU005016</v>
      </c>
      <c r="B63" s="9">
        <v>1224567891126</v>
      </c>
      <c r="C63" s="2" t="str">
        <v>Riau Candles (M)</v>
      </c>
      <c r="D63" s="8" t="str">
        <v>Lemongrass Tea</v>
      </c>
      <c r="E63" s="5">
        <v>30</v>
      </c>
      <c r="F63" s="5">
        <v>13</v>
      </c>
      <c r="G63" s="1">
        <v>8</v>
      </c>
      <c r="H63" s="1"/>
      <c r="I63" s="1"/>
      <c r="J63" s="3"/>
      <c r="K63" s="3"/>
      <c r="L63" s="3"/>
      <c r="M63" s="3"/>
      <c r="N63" s="1">
        <v>4</v>
      </c>
      <c r="O63" s="3"/>
      <c r="P63" s="3">
        <v>3</v>
      </c>
      <c r="Q63" s="3"/>
      <c r="R63" s="3"/>
      <c r="S63" s="3"/>
      <c r="T63" s="3"/>
      <c r="U63" s="3"/>
      <c r="V63" s="3"/>
      <c r="W63" s="3"/>
      <c r="X63" s="3"/>
      <c r="Y63" s="3"/>
      <c r="Z63" s="3">
        <v>3</v>
      </c>
      <c r="AA63" s="3">
        <v>6</v>
      </c>
      <c r="AB63" s="3">
        <v>4</v>
      </c>
      <c r="AC63" s="3"/>
      <c r="AD63" s="3"/>
      <c r="AE63" s="3"/>
      <c r="AF63" s="3">
        <v>2</v>
      </c>
      <c r="AG63" s="3"/>
      <c r="AH63" s="3">
        <v>4</v>
      </c>
      <c r="AI63" s="1">
        <v>4</v>
      </c>
      <c r="AJ63" s="1"/>
      <c r="AK63" s="1">
        <v>2</v>
      </c>
      <c r="AL63" s="4">
        <v>6</v>
      </c>
      <c r="AM63" s="4"/>
      <c r="AN63" s="4">
        <v>4</v>
      </c>
      <c r="AO63" s="4"/>
      <c r="AP63" s="4"/>
      <c r="AQ63" s="4"/>
      <c r="AR63" s="1"/>
      <c r="AS63" s="1"/>
      <c r="AT63" s="1"/>
      <c r="AU63" s="1"/>
      <c r="AV63" s="1"/>
      <c r="AW63" s="1"/>
      <c r="AX63" s="1"/>
      <c r="AY63" s="1"/>
      <c r="AZ63" s="1"/>
      <c r="BA63" s="1">
        <v>-1</v>
      </c>
      <c r="BB63" s="1"/>
      <c r="BC63" s="1"/>
      <c r="BD63" s="1"/>
      <c r="BE63" s="1"/>
      <c r="BF63" s="1">
        <v>1</v>
      </c>
      <c r="BG63" s="1"/>
      <c r="BH63" s="1"/>
      <c r="BI63" s="1"/>
      <c r="BJ63" s="1">
        <v>5</v>
      </c>
      <c r="BK63" s="1"/>
      <c r="BL63" s="1"/>
      <c r="BM63" s="4"/>
      <c r="BN63" s="4"/>
      <c r="BO63" s="2"/>
      <c r="BP63" s="6"/>
    </row>
    <row customHeight="true" ht="19" r="64">
      <c r="A64" s="2" t="str">
        <v>RIAU005014</v>
      </c>
      <c r="B64" s="9">
        <v>2502210909510</v>
      </c>
      <c r="C64" s="2" t="str">
        <v>Riau Candles (M)</v>
      </c>
      <c r="D64" s="2" t="str">
        <v>Matcha &amp; Bergamot</v>
      </c>
      <c r="E64" s="5">
        <v>30</v>
      </c>
      <c r="F64" s="5">
        <v>13</v>
      </c>
      <c r="G64" s="1"/>
      <c r="H64" s="1"/>
      <c r="I64" s="1"/>
      <c r="J64" s="3"/>
      <c r="K64" s="3"/>
      <c r="L64" s="3"/>
      <c r="M64" s="3"/>
      <c r="N64" s="1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1"/>
      <c r="AJ64" s="1"/>
      <c r="AK64" s="1"/>
      <c r="AL64" s="4"/>
      <c r="AM64" s="4"/>
      <c r="AN64" s="4"/>
      <c r="AO64" s="4"/>
      <c r="AP64" s="4"/>
      <c r="AQ64" s="4"/>
      <c r="AR64" s="1"/>
      <c r="AS64" s="1"/>
      <c r="AT64" s="1"/>
      <c r="AU64" s="1"/>
      <c r="AV64" s="1"/>
      <c r="AW64" s="1">
        <v>6</v>
      </c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>
        <v>4</v>
      </c>
      <c r="BK64" s="1"/>
      <c r="BL64" s="1"/>
      <c r="BM64" s="4"/>
      <c r="BN64" s="4"/>
      <c r="BO64" s="7"/>
      <c r="BP64" s="6"/>
    </row>
    <row customHeight="true" ht="19" r="65">
      <c r="A65" s="2" t="str">
        <v>RIAU004015</v>
      </c>
      <c r="B65" s="9">
        <v>1224567891133</v>
      </c>
      <c r="C65" s="2" t="str">
        <v>Riau Candles (M)</v>
      </c>
      <c r="D65" s="2" t="str">
        <v>Merry Mistletoe</v>
      </c>
      <c r="E65" s="5">
        <v>30</v>
      </c>
      <c r="F65" s="5">
        <v>13</v>
      </c>
      <c r="G65" s="1">
        <v>1</v>
      </c>
      <c r="H65" s="1"/>
      <c r="I65" s="1"/>
      <c r="J65" s="3"/>
      <c r="K65" s="3"/>
      <c r="L65" s="3"/>
      <c r="M65" s="3"/>
      <c r="N65" s="1"/>
      <c r="O65" s="3"/>
      <c r="P65" s="3"/>
      <c r="Q65" s="3"/>
      <c r="R65" s="3"/>
      <c r="S65" s="3">
        <v>4</v>
      </c>
      <c r="T65" s="3"/>
      <c r="U65" s="3"/>
      <c r="V65" s="3"/>
      <c r="W65" s="3"/>
      <c r="X65" s="3"/>
      <c r="Y65" s="3"/>
      <c r="Z65" s="3">
        <v>2</v>
      </c>
      <c r="AA65" s="3"/>
      <c r="AB65" s="3"/>
      <c r="AC65" s="3"/>
      <c r="AD65" s="3"/>
      <c r="AE65" s="3"/>
      <c r="AF65" s="3">
        <v>4</v>
      </c>
      <c r="AG65" s="3"/>
      <c r="AH65" s="3"/>
      <c r="AI65" s="1"/>
      <c r="AJ65" s="1"/>
      <c r="AK65" s="1"/>
      <c r="AL65" s="4"/>
      <c r="AM65" s="4"/>
      <c r="AN65" s="4"/>
      <c r="AO65" s="4"/>
      <c r="AP65" s="4"/>
      <c r="AQ65" s="4"/>
      <c r="AR65" s="1"/>
      <c r="AS65" s="1"/>
      <c r="AT65" s="1"/>
      <c r="AU65" s="1"/>
      <c r="AV65" s="1"/>
      <c r="AW65" s="1">
        <v>4</v>
      </c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>
        <v>-1</v>
      </c>
      <c r="BI65" s="1">
        <v>1</v>
      </c>
      <c r="BJ65" s="1">
        <v>6</v>
      </c>
      <c r="BK65" s="1"/>
      <c r="BL65" s="1"/>
      <c r="BM65" s="4"/>
      <c r="BN65" s="4"/>
      <c r="BO65" s="7"/>
      <c r="BP65" s="6"/>
    </row>
    <row customHeight="true" ht="19" r="66">
      <c r="A66" s="2" t="str">
        <v>RIAU005015</v>
      </c>
      <c r="B66" s="9">
        <v>1224567891140</v>
      </c>
      <c r="C66" s="2" t="str">
        <v>Riau Candles (M)</v>
      </c>
      <c r="D66" s="8" t="str">
        <v>Mountain Rain</v>
      </c>
      <c r="E66" s="5">
        <v>30</v>
      </c>
      <c r="F66" s="5">
        <v>13</v>
      </c>
      <c r="G66" s="1">
        <v>4</v>
      </c>
      <c r="H66" s="1"/>
      <c r="I66" s="1"/>
      <c r="J66" s="3"/>
      <c r="K66" s="3"/>
      <c r="L66" s="3"/>
      <c r="M66" s="3"/>
      <c r="N66" s="1">
        <v>5</v>
      </c>
      <c r="O66" s="3"/>
      <c r="P66" s="3">
        <v>4</v>
      </c>
      <c r="Q66" s="3"/>
      <c r="R66" s="3"/>
      <c r="S66" s="3"/>
      <c r="T66" s="3">
        <v>2</v>
      </c>
      <c r="U66" s="3"/>
      <c r="V66" s="3">
        <v>2</v>
      </c>
      <c r="W66" s="3"/>
      <c r="X66" s="3"/>
      <c r="Y66" s="3"/>
      <c r="Z66" s="3">
        <v>4</v>
      </c>
      <c r="AA66" s="3"/>
      <c r="AB66" s="3">
        <v>4</v>
      </c>
      <c r="AC66" s="3"/>
      <c r="AD66" s="3"/>
      <c r="AE66" s="3"/>
      <c r="AF66" s="3">
        <v>6</v>
      </c>
      <c r="AG66" s="3"/>
      <c r="AH66" s="3">
        <v>4</v>
      </c>
      <c r="AI66" s="1"/>
      <c r="AJ66" s="1"/>
      <c r="AK66" s="1"/>
      <c r="AL66" s="4">
        <v>4</v>
      </c>
      <c r="AM66" s="4">
        <v>-1</v>
      </c>
      <c r="AN66" s="4"/>
      <c r="AO66" s="4"/>
      <c r="AP66" s="4"/>
      <c r="AQ66" s="4"/>
      <c r="AR66" s="1"/>
      <c r="AS66" s="1"/>
      <c r="AT66" s="1"/>
      <c r="AU66" s="1"/>
      <c r="AV66" s="1"/>
      <c r="AW66" s="1">
        <v>6</v>
      </c>
      <c r="AX66" s="1"/>
      <c r="AY66" s="1"/>
      <c r="AZ66" s="1"/>
      <c r="BA66" s="1"/>
      <c r="BB66" s="1"/>
      <c r="BC66" s="1">
        <v>2</v>
      </c>
      <c r="BD66" s="1"/>
      <c r="BE66" s="1"/>
      <c r="BF66" s="1"/>
      <c r="BG66" s="1"/>
      <c r="BH66" s="1"/>
      <c r="BI66" s="1"/>
      <c r="BJ66" s="1">
        <v>8</v>
      </c>
      <c r="BK66" s="1"/>
      <c r="BL66" s="1"/>
      <c r="BM66" s="4"/>
      <c r="BN66" s="4"/>
      <c r="BO66" s="7"/>
      <c r="BP66" s="6"/>
    </row>
    <row customHeight="true" ht="19" r="67">
      <c r="A67" s="2" t="str">
        <v>RIAU004016</v>
      </c>
      <c r="B67" s="9">
        <v>1224567891157</v>
      </c>
      <c r="C67" s="2" t="str">
        <v>Riau Candles (M)</v>
      </c>
      <c r="D67" s="8" t="str">
        <v>Sandalwood &amp; Citrus</v>
      </c>
      <c r="E67" s="5">
        <v>30</v>
      </c>
      <c r="F67" s="5">
        <v>13</v>
      </c>
      <c r="G67" s="1">
        <v>8</v>
      </c>
      <c r="H67" s="1"/>
      <c r="I67" s="1"/>
      <c r="J67" s="3"/>
      <c r="K67" s="3"/>
      <c r="L67" s="3"/>
      <c r="M67" s="3"/>
      <c r="N67" s="1"/>
      <c r="O67" s="3"/>
      <c r="P67" s="3">
        <v>2</v>
      </c>
      <c r="Q67" s="3"/>
      <c r="R67" s="3"/>
      <c r="S67" s="3">
        <v>2</v>
      </c>
      <c r="T67" s="3"/>
      <c r="U67" s="3"/>
      <c r="V67" s="3"/>
      <c r="W67" s="3"/>
      <c r="X67" s="3"/>
      <c r="Y67" s="3"/>
      <c r="Z67" s="3">
        <v>2</v>
      </c>
      <c r="AA67" s="3"/>
      <c r="AB67" s="3"/>
      <c r="AC67" s="3"/>
      <c r="AD67" s="3"/>
      <c r="AE67" s="3"/>
      <c r="AF67" s="3">
        <v>4</v>
      </c>
      <c r="AG67" s="3"/>
      <c r="AH67" s="3">
        <v>6</v>
      </c>
      <c r="AI67" s="1"/>
      <c r="AJ67" s="1"/>
      <c r="AK67" s="1"/>
      <c r="AL67" s="4">
        <v>4</v>
      </c>
      <c r="AM67" s="4">
        <v>-2</v>
      </c>
      <c r="AN67" s="4"/>
      <c r="AO67" s="4"/>
      <c r="AP67" s="4"/>
      <c r="AQ67" s="4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>
        <v>4</v>
      </c>
      <c r="BD67" s="1"/>
      <c r="BE67" s="1"/>
      <c r="BF67" s="1"/>
      <c r="BG67" s="1"/>
      <c r="BH67" s="1"/>
      <c r="BI67" s="1"/>
      <c r="BJ67" s="1"/>
      <c r="BK67" s="1"/>
      <c r="BL67" s="1"/>
      <c r="BM67" s="4"/>
      <c r="BN67" s="4"/>
      <c r="BO67" s="7"/>
      <c r="BP67" s="6"/>
    </row>
    <row customHeight="true" ht="19" r="68">
      <c r="A68" s="2" t="str">
        <v>RIAU004017</v>
      </c>
      <c r="B68" s="9">
        <v>1224567891164</v>
      </c>
      <c r="C68" s="2" t="str">
        <v>Riau Candles (M)</v>
      </c>
      <c r="D68" s="2" t="str">
        <v>Spice Market</v>
      </c>
      <c r="E68" s="5">
        <v>30</v>
      </c>
      <c r="F68" s="5">
        <v>13</v>
      </c>
      <c r="G68" s="1">
        <v>7</v>
      </c>
      <c r="H68" s="1"/>
      <c r="I68" s="1"/>
      <c r="J68" s="3"/>
      <c r="K68" s="3"/>
      <c r="L68" s="3"/>
      <c r="M68" s="3"/>
      <c r="N68" s="1"/>
      <c r="O68" s="3"/>
      <c r="P68" s="3">
        <v>2</v>
      </c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>
        <v>2</v>
      </c>
      <c r="AG68" s="3"/>
      <c r="AH68" s="3"/>
      <c r="AI68" s="1"/>
      <c r="AJ68" s="1"/>
      <c r="AK68" s="1"/>
      <c r="AL68" s="4"/>
      <c r="AM68" s="4"/>
      <c r="AN68" s="4"/>
      <c r="AO68" s="4"/>
      <c r="AP68" s="4"/>
      <c r="AQ68" s="4"/>
      <c r="AR68" s="1"/>
      <c r="AS68" s="1"/>
      <c r="AT68" s="1"/>
      <c r="AU68" s="1"/>
      <c r="AV68" s="1"/>
      <c r="AW68" s="1">
        <v>6</v>
      </c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>
        <v>-1</v>
      </c>
      <c r="BI68" s="1"/>
      <c r="BJ68" s="1"/>
      <c r="BK68" s="1"/>
      <c r="BL68" s="1"/>
      <c r="BM68" s="4"/>
      <c r="BN68" s="4"/>
      <c r="BO68" s="7"/>
      <c r="BP68" s="6"/>
    </row>
    <row customHeight="true" ht="19" r="69">
      <c r="A69" s="2"/>
      <c r="B69" s="9">
        <v>2502210909428</v>
      </c>
      <c r="C69" s="2" t="str">
        <v>Riau Candles (M)</v>
      </c>
      <c r="D69" s="2" t="str">
        <v>Tonka &amp; Oud</v>
      </c>
      <c r="E69" s="5">
        <v>30</v>
      </c>
      <c r="F69" s="5">
        <v>13</v>
      </c>
      <c r="G69" s="1"/>
      <c r="H69" s="1"/>
      <c r="I69" s="1"/>
      <c r="J69" s="3"/>
      <c r="K69" s="3"/>
      <c r="L69" s="3"/>
      <c r="M69" s="3"/>
      <c r="N69" s="1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1"/>
      <c r="AJ69" s="1"/>
      <c r="AK69" s="1"/>
      <c r="AL69" s="4"/>
      <c r="AM69" s="4"/>
      <c r="AN69" s="4"/>
      <c r="AO69" s="4"/>
      <c r="AP69" s="4"/>
      <c r="AQ69" s="4"/>
      <c r="AR69" s="1"/>
      <c r="AS69" s="1"/>
      <c r="AT69" s="1"/>
      <c r="AU69" s="1"/>
      <c r="AV69" s="1"/>
      <c r="AW69" s="1">
        <v>6</v>
      </c>
      <c r="AX69" s="1"/>
      <c r="AY69" s="1"/>
      <c r="AZ69" s="1"/>
      <c r="BA69" s="1"/>
      <c r="BB69" s="1"/>
      <c r="BC69" s="1">
        <v>4</v>
      </c>
      <c r="BD69" s="1"/>
      <c r="BE69" s="1"/>
      <c r="BF69" s="1"/>
      <c r="BG69" s="1"/>
      <c r="BH69" s="1"/>
      <c r="BI69" s="1"/>
      <c r="BJ69" s="1">
        <v>4</v>
      </c>
      <c r="BK69" s="1"/>
      <c r="BL69" s="1"/>
      <c r="BM69" s="4"/>
      <c r="BN69" s="4"/>
      <c r="BO69" s="7"/>
      <c r="BP69" s="6"/>
    </row>
    <row customHeight="true" ht="19" r="70">
      <c r="A70" s="2"/>
      <c r="B70" s="9">
        <v>1224567891171</v>
      </c>
      <c r="C70" s="2" t="str">
        <v>Riau Candles (M)</v>
      </c>
      <c r="D70" s="8" t="str">
        <v>Vanilla &amp; Spice</v>
      </c>
      <c r="E70" s="5">
        <v>30</v>
      </c>
      <c r="F70" s="5">
        <v>13</v>
      </c>
      <c r="G70" s="1">
        <v>7</v>
      </c>
      <c r="H70" s="1"/>
      <c r="I70" s="1"/>
      <c r="J70" s="3"/>
      <c r="K70" s="3"/>
      <c r="L70" s="3"/>
      <c r="M70" s="3"/>
      <c r="N70" s="1">
        <v>4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>
        <v>2</v>
      </c>
      <c r="AB70" s="3"/>
      <c r="AC70" s="3"/>
      <c r="AD70" s="3"/>
      <c r="AE70" s="3"/>
      <c r="AF70" s="3">
        <v>2</v>
      </c>
      <c r="AG70" s="3"/>
      <c r="AH70" s="3">
        <v>2</v>
      </c>
      <c r="AI70" s="1"/>
      <c r="AJ70" s="1"/>
      <c r="AK70" s="1"/>
      <c r="AL70" s="4">
        <v>2</v>
      </c>
      <c r="AM70" s="4"/>
      <c r="AN70" s="4"/>
      <c r="AO70" s="4"/>
      <c r="AP70" s="4"/>
      <c r="AQ70" s="4"/>
      <c r="AR70" s="1"/>
      <c r="AS70" s="1"/>
      <c r="AT70" s="1"/>
      <c r="AU70" s="1"/>
      <c r="AV70" s="1"/>
      <c r="AW70" s="1">
        <v>3</v>
      </c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>
        <v>2</v>
      </c>
      <c r="BK70" s="1"/>
      <c r="BL70" s="1"/>
      <c r="BM70" s="4"/>
      <c r="BN70" s="4"/>
      <c r="BO70" s="2"/>
      <c r="BP70" s="6"/>
    </row>
    <row customHeight="true" ht="19" r="71">
      <c r="A71" s="2"/>
      <c r="B71" s="9">
        <v>1224567891188</v>
      </c>
      <c r="C71" s="2" t="str">
        <v>Riau Candles (M)</v>
      </c>
      <c r="D71" s="8" t="str">
        <v>White Lily</v>
      </c>
      <c r="E71" s="5">
        <v>30</v>
      </c>
      <c r="F71" s="5">
        <v>13</v>
      </c>
      <c r="G71" s="1">
        <v>5</v>
      </c>
      <c r="H71" s="1"/>
      <c r="I71" s="1"/>
      <c r="J71" s="3"/>
      <c r="K71" s="3"/>
      <c r="L71" s="3"/>
      <c r="M71" s="3"/>
      <c r="N71" s="1">
        <v>5</v>
      </c>
      <c r="O71" s="3"/>
      <c r="P71" s="3">
        <v>4</v>
      </c>
      <c r="Q71" s="3"/>
      <c r="R71" s="3"/>
      <c r="S71" s="3">
        <v>4</v>
      </c>
      <c r="T71" s="3"/>
      <c r="U71" s="3"/>
      <c r="V71" s="3"/>
      <c r="W71" s="3"/>
      <c r="X71" s="3"/>
      <c r="Y71" s="3"/>
      <c r="Z71" s="3">
        <v>4</v>
      </c>
      <c r="AA71" s="3">
        <v>4</v>
      </c>
      <c r="AB71" s="3">
        <v>2</v>
      </c>
      <c r="AC71" s="3"/>
      <c r="AD71" s="3"/>
      <c r="AE71" s="3"/>
      <c r="AF71" s="3">
        <v>4</v>
      </c>
      <c r="AG71" s="3"/>
      <c r="AH71" s="3"/>
      <c r="AI71" s="1"/>
      <c r="AJ71" s="1"/>
      <c r="AK71" s="1"/>
      <c r="AL71" s="4">
        <v>4</v>
      </c>
      <c r="AM71" s="4">
        <v>-4</v>
      </c>
      <c r="AN71" s="4"/>
      <c r="AO71" s="4"/>
      <c r="AP71" s="4"/>
      <c r="AQ71" s="4"/>
      <c r="AR71" s="1"/>
      <c r="AS71" s="1"/>
      <c r="AT71" s="1"/>
      <c r="AU71" s="1"/>
      <c r="AV71" s="1"/>
      <c r="AW71" s="1">
        <v>5</v>
      </c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4"/>
      <c r="BN71" s="4"/>
      <c r="BO71" s="7"/>
      <c r="BP71" s="6"/>
    </row>
    <row customHeight="true" ht="19" r="72">
      <c r="A72" s="2" t="str">
        <v>RIAU004003</v>
      </c>
      <c r="B72" s="9">
        <v>1224567891195</v>
      </c>
      <c r="C72" s="2" t="str">
        <v>Riau Candles (M)</v>
      </c>
      <c r="D72" s="8" t="str">
        <v>Wild Rose</v>
      </c>
      <c r="E72" s="5">
        <v>30</v>
      </c>
      <c r="F72" s="5">
        <v>13</v>
      </c>
      <c r="G72" s="1">
        <v>5</v>
      </c>
      <c r="H72" s="1"/>
      <c r="I72" s="1"/>
      <c r="J72" s="3">
        <v>-1</v>
      </c>
      <c r="K72" s="3"/>
      <c r="L72" s="3"/>
      <c r="M72" s="3"/>
      <c r="N72" s="1">
        <v>5</v>
      </c>
      <c r="O72" s="3"/>
      <c r="P72" s="3"/>
      <c r="Q72" s="3"/>
      <c r="R72" s="3"/>
      <c r="S72" s="3">
        <v>4</v>
      </c>
      <c r="T72" s="3"/>
      <c r="U72" s="3"/>
      <c r="V72" s="3"/>
      <c r="W72" s="3"/>
      <c r="X72" s="3"/>
      <c r="Y72" s="3"/>
      <c r="Z72" s="3">
        <v>3</v>
      </c>
      <c r="AA72" s="3"/>
      <c r="AB72" s="3"/>
      <c r="AC72" s="3"/>
      <c r="AD72" s="3"/>
      <c r="AE72" s="3"/>
      <c r="AF72" s="3">
        <v>6</v>
      </c>
      <c r="AG72" s="3"/>
      <c r="AH72" s="3"/>
      <c r="AI72" s="1"/>
      <c r="AJ72" s="1"/>
      <c r="AK72" s="1"/>
      <c r="AL72" s="4">
        <v>4</v>
      </c>
      <c r="AM72" s="4"/>
      <c r="AN72" s="4"/>
      <c r="AO72" s="4"/>
      <c r="AP72" s="4"/>
      <c r="AQ72" s="4"/>
      <c r="AR72" s="1"/>
      <c r="AS72" s="1"/>
      <c r="AT72" s="1"/>
      <c r="AU72" s="1"/>
      <c r="AV72" s="1"/>
      <c r="AW72" s="1">
        <v>5</v>
      </c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>
        <v>-1</v>
      </c>
      <c r="BI72" s="1"/>
      <c r="BJ72" s="1"/>
      <c r="BK72" s="1"/>
      <c r="BL72" s="1"/>
      <c r="BM72" s="4"/>
      <c r="BN72" s="4"/>
      <c r="BO72" s="7"/>
      <c r="BP72" s="6"/>
    </row>
    <row customHeight="true" ht="19" r="73">
      <c r="A73" s="20"/>
      <c r="B73" s="17"/>
      <c r="C73" s="16"/>
      <c r="D73" s="16"/>
      <c r="E73" s="16"/>
      <c r="F73" s="16"/>
      <c r="G73" s="18"/>
      <c r="H73" s="18"/>
      <c r="I73" s="18"/>
      <c r="J73" s="16"/>
      <c r="K73" s="16"/>
      <c r="L73" s="16"/>
      <c r="M73" s="16"/>
      <c r="N73" s="19">
        <f>sum(N49:N72)</f>
      </c>
      <c r="O73" s="16">
        <f>sum(O49:O72)</f>
      </c>
      <c r="P73" s="16">
        <f>sum(P49:P72)</f>
      </c>
      <c r="Q73" s="16"/>
      <c r="R73" s="16">
        <f>sum(R49:R72)</f>
      </c>
      <c r="S73" s="16">
        <f>sum(S49:S72)</f>
      </c>
      <c r="T73" s="16">
        <f>sum(T49:T72)</f>
      </c>
      <c r="U73" s="16">
        <f>sum(U49:U72)</f>
      </c>
      <c r="V73" s="16">
        <f>SUM(V49:V72)</f>
      </c>
      <c r="W73" s="16">
        <f>SUM(W49:W72)</f>
      </c>
      <c r="X73" s="16">
        <f>SUM(X49:X72)</f>
      </c>
      <c r="Y73" s="16">
        <f>SUM(Y49:Y72)</f>
      </c>
      <c r="Z73" s="16">
        <f>sum(Z49:Z72)</f>
      </c>
      <c r="AA73" s="16">
        <f>sum(AA49:AA72)</f>
      </c>
      <c r="AB73" s="16">
        <f>sum(AB49:AB72)</f>
      </c>
      <c r="AC73" s="16">
        <f>sum(AC49:AC72)</f>
      </c>
      <c r="AD73" s="16">
        <f>sum(AD49:AD72)</f>
      </c>
      <c r="AE73" s="16">
        <f>sum(AE49:AE72)</f>
      </c>
      <c r="AF73" s="16">
        <f>sum(AF49:AF72)</f>
      </c>
      <c r="AG73" s="16">
        <f>sum(AG49:AG72)</f>
      </c>
      <c r="AH73" s="16">
        <f>sum(AH49:AH72)</f>
      </c>
      <c r="AI73" s="16">
        <f>sum(AI49:AI72)</f>
      </c>
      <c r="AJ73" s="16">
        <f>sum(AJ49:AJ72)</f>
      </c>
      <c r="AK73" s="16">
        <f>sum(AK49:AK72)</f>
      </c>
      <c r="AL73" s="16">
        <f>sum(AL49:AL72)</f>
      </c>
      <c r="AM73" s="16">
        <f>sum(AM49:AM72)</f>
      </c>
      <c r="AN73" s="16">
        <f>sum(AN49:AN72)</f>
      </c>
      <c r="AO73" s="16">
        <f>sum(AO49:AO72)</f>
      </c>
      <c r="AP73" s="16">
        <f>sum(AP49:AP72)</f>
      </c>
      <c r="AQ73" s="16">
        <f>sum(AQ49:AQ72)</f>
      </c>
      <c r="AR73" s="16">
        <f>sum(AR49:AR72)</f>
      </c>
      <c r="AS73" s="16">
        <f>sum(AS49:AS72)</f>
      </c>
      <c r="AT73" s="16">
        <f>sum(AT49:AT72)</f>
      </c>
      <c r="AU73" s="16">
        <f>sum(AU49:AU72)</f>
      </c>
      <c r="AV73" s="16">
        <f>sum(AV49:AV72)</f>
      </c>
      <c r="AW73" s="16">
        <f>sum(AW49:AW72)</f>
      </c>
      <c r="AX73" s="16">
        <f>sum(AX49:AX72)</f>
      </c>
      <c r="AY73" s="16">
        <f>sum(AY49:AY72)</f>
      </c>
      <c r="AZ73" s="16">
        <f>sum(AZ49:AZ72)</f>
      </c>
      <c r="BA73" s="16">
        <f>sum(BA49:BA72)</f>
      </c>
      <c r="BB73" s="16">
        <f>sum(BB49:BB72)</f>
      </c>
      <c r="BC73" s="16">
        <f>sum(BC49:BC72)</f>
      </c>
      <c r="BD73" s="16">
        <f>sum(BD49:BD72)</f>
      </c>
      <c r="BE73" s="16">
        <f>sum(BE49:BE72)</f>
      </c>
      <c r="BF73" s="16">
        <f>sum(BF49:BF72)</f>
      </c>
      <c r="BG73" s="16">
        <f>sum(BG49:BG72)</f>
      </c>
      <c r="BH73" s="16">
        <f>sum(BH49:BH72)</f>
      </c>
      <c r="BI73" s="16">
        <f>sum(BI49:BI72)</f>
      </c>
      <c r="BJ73" s="16">
        <f>sum(BJ49:BJ72)</f>
      </c>
      <c r="BK73" s="16">
        <f>sum(BK49:BK72)</f>
      </c>
      <c r="BL73" s="16">
        <f>sum(BL49:BL72)</f>
      </c>
      <c r="BM73" s="16">
        <f>sum(BM49:BM72)</f>
      </c>
      <c r="BN73" s="16"/>
      <c r="BO73" s="16"/>
      <c r="BP73" s="16"/>
    </row>
    <row customHeight="true" ht="19" r="74">
      <c r="A74" s="2" t="str">
        <v>RIAU001011</v>
      </c>
      <c r="B74" s="9">
        <v>1234567891019</v>
      </c>
      <c r="C74" s="2" t="str">
        <v>Riau Candles (S)</v>
      </c>
      <c r="D74" s="8" t="str">
        <v>Amber &amp; Ash</v>
      </c>
      <c r="E74" s="5">
        <v>18</v>
      </c>
      <c r="F74" s="5">
        <v>6.5</v>
      </c>
      <c r="G74" s="1">
        <v>8</v>
      </c>
      <c r="H74" s="1"/>
      <c r="I74" s="1"/>
      <c r="J74" s="3"/>
      <c r="K74" s="3"/>
      <c r="L74" s="3"/>
      <c r="M74" s="3"/>
      <c r="N74" s="1"/>
      <c r="O74" s="3"/>
      <c r="P74" s="3"/>
      <c r="Q74" s="3"/>
      <c r="R74" s="3"/>
      <c r="S74" s="3">
        <v>4</v>
      </c>
      <c r="T74" s="3"/>
      <c r="U74" s="3"/>
      <c r="V74" s="3"/>
      <c r="W74" s="3"/>
      <c r="X74" s="3">
        <v>1</v>
      </c>
      <c r="Y74" s="3"/>
      <c r="Z74" s="3"/>
      <c r="AA74" s="3"/>
      <c r="AB74" s="3"/>
      <c r="AC74" s="3"/>
      <c r="AD74" s="3"/>
      <c r="AE74" s="3"/>
      <c r="AF74" s="3">
        <v>2</v>
      </c>
      <c r="AG74" s="3"/>
      <c r="AH74" s="3"/>
      <c r="AI74" s="1">
        <v>2</v>
      </c>
      <c r="AJ74" s="1">
        <v>1</v>
      </c>
      <c r="AK74" s="1"/>
      <c r="AL74" s="4"/>
      <c r="AM74" s="4"/>
      <c r="AN74" s="4"/>
      <c r="AO74" s="4"/>
      <c r="AP74" s="4"/>
      <c r="AQ74" s="4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>
        <v>4</v>
      </c>
      <c r="BD74" s="1"/>
      <c r="BE74" s="1"/>
      <c r="BF74" s="1"/>
      <c r="BG74" s="1"/>
      <c r="BH74" s="1"/>
      <c r="BI74" s="1"/>
      <c r="BJ74" s="1">
        <v>6</v>
      </c>
      <c r="BK74" s="1"/>
      <c r="BL74" s="1"/>
      <c r="BM74" s="4"/>
      <c r="BN74" s="4"/>
      <c r="BO74" s="2"/>
      <c r="BP74" s="6"/>
    </row>
    <row customHeight="true" ht="19" r="75">
      <c r="A75" s="2"/>
      <c r="B75" s="9">
        <v>2310011106447</v>
      </c>
      <c r="C75" s="2" t="str">
        <v>Riau Candles (S)</v>
      </c>
      <c r="D75" s="2" t="str">
        <v>Apple Blossom</v>
      </c>
      <c r="E75" s="5">
        <v>18</v>
      </c>
      <c r="F75" s="5">
        <v>6.5</v>
      </c>
      <c r="G75" s="1"/>
      <c r="H75" s="1"/>
      <c r="I75" s="1"/>
      <c r="J75" s="3"/>
      <c r="K75" s="3"/>
      <c r="L75" s="3"/>
      <c r="M75" s="3"/>
      <c r="N75" s="1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1"/>
      <c r="AJ75" s="1"/>
      <c r="AK75" s="1"/>
      <c r="AL75" s="4"/>
      <c r="AM75" s="4"/>
      <c r="AN75" s="4"/>
      <c r="AO75" s="4"/>
      <c r="AP75" s="4"/>
      <c r="AQ75" s="4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4"/>
      <c r="BN75" s="4"/>
      <c r="BO75" s="7"/>
      <c r="BP75" s="6"/>
    </row>
    <row customHeight="true" ht="19" r="76">
      <c r="A76" s="2" t="str">
        <v>RIAU001002</v>
      </c>
      <c r="B76" s="9">
        <v>1234567891026</v>
      </c>
      <c r="C76" s="2" t="str">
        <v>Riau Candles (S)</v>
      </c>
      <c r="D76" s="22" t="str">
        <v>Brown Sugar &amp; Fig</v>
      </c>
      <c r="E76" s="5">
        <v>18</v>
      </c>
      <c r="F76" s="5">
        <v>6.5</v>
      </c>
      <c r="G76" s="1"/>
      <c r="H76" s="1"/>
      <c r="I76" s="1"/>
      <c r="J76" s="3"/>
      <c r="K76" s="3"/>
      <c r="L76" s="3"/>
      <c r="M76" s="3"/>
      <c r="N76" s="1">
        <v>5</v>
      </c>
      <c r="O76" s="3"/>
      <c r="P76" s="3"/>
      <c r="Q76" s="3"/>
      <c r="R76" s="3"/>
      <c r="S76" s="3"/>
      <c r="T76" s="3"/>
      <c r="U76" s="3"/>
      <c r="V76" s="21">
        <v>4</v>
      </c>
      <c r="W76" s="21"/>
      <c r="X76" s="21">
        <v>-1</v>
      </c>
      <c r="Y76" s="3"/>
      <c r="Z76" s="3"/>
      <c r="AA76" s="3"/>
      <c r="AB76" s="3"/>
      <c r="AC76" s="3"/>
      <c r="AD76" s="3"/>
      <c r="AE76" s="3"/>
      <c r="AF76" s="3">
        <v>4</v>
      </c>
      <c r="AG76" s="3"/>
      <c r="AH76" s="3"/>
      <c r="AI76" s="1"/>
      <c r="AJ76" s="1"/>
      <c r="AK76" s="1"/>
      <c r="AL76" s="4"/>
      <c r="AM76" s="4"/>
      <c r="AN76" s="4"/>
      <c r="AO76" s="4"/>
      <c r="AP76" s="4"/>
      <c r="AQ76" s="4"/>
      <c r="AR76" s="1"/>
      <c r="AS76" s="1"/>
      <c r="AT76" s="1"/>
      <c r="AU76" s="1"/>
      <c r="AV76" s="1"/>
      <c r="AW76" s="1">
        <v>2</v>
      </c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>
        <v>5</v>
      </c>
      <c r="BK76" s="1"/>
      <c r="BL76" s="1"/>
      <c r="BM76" s="4"/>
      <c r="BN76" s="4"/>
      <c r="BO76" s="7"/>
      <c r="BP76" s="6"/>
    </row>
    <row customHeight="true" ht="19" r="77">
      <c r="A77" s="2" t="str">
        <v>RIAU001017</v>
      </c>
      <c r="B77" s="9">
        <v>1234567891033</v>
      </c>
      <c r="C77" s="2" t="str">
        <v>Riau Candles (S)</v>
      </c>
      <c r="D77" s="2" t="str">
        <v>Christmas Tree</v>
      </c>
      <c r="E77" s="5">
        <v>18</v>
      </c>
      <c r="F77" s="5">
        <v>6.5</v>
      </c>
      <c r="G77" s="1">
        <v>3</v>
      </c>
      <c r="H77" s="1"/>
      <c r="I77" s="1"/>
      <c r="J77" s="3"/>
      <c r="K77" s="3"/>
      <c r="L77" s="3"/>
      <c r="M77" s="3"/>
      <c r="N77" s="1"/>
      <c r="O77" s="3"/>
      <c r="P77" s="3"/>
      <c r="Q77" s="3"/>
      <c r="R77" s="3"/>
      <c r="S77" s="3"/>
      <c r="T77" s="3">
        <v>6</v>
      </c>
      <c r="U77" s="3"/>
      <c r="V77" s="21">
        <v>4</v>
      </c>
      <c r="W77" s="21"/>
      <c r="X77" s="21"/>
      <c r="Y77" s="3"/>
      <c r="Z77" s="3"/>
      <c r="AA77" s="3"/>
      <c r="AB77" s="3"/>
      <c r="AC77" s="3"/>
      <c r="AD77" s="3"/>
      <c r="AE77" s="3"/>
      <c r="AF77" s="3"/>
      <c r="AG77" s="3"/>
      <c r="AH77" s="3">
        <v>4</v>
      </c>
      <c r="AI77" s="1"/>
      <c r="AJ77" s="1"/>
      <c r="AK77" s="1"/>
      <c r="AL77" s="4"/>
      <c r="AM77" s="4"/>
      <c r="AN77" s="4">
        <v>4</v>
      </c>
      <c r="AO77" s="4">
        <v>-1</v>
      </c>
      <c r="AP77" s="4"/>
      <c r="AQ77" s="4"/>
      <c r="AR77" s="1"/>
      <c r="AS77" s="1"/>
      <c r="AT77" s="1"/>
      <c r="AU77" s="1"/>
      <c r="AV77" s="1"/>
      <c r="AW77" s="1">
        <v>2</v>
      </c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>
        <v>5</v>
      </c>
      <c r="BK77" s="1"/>
      <c r="BL77" s="1"/>
      <c r="BM77" s="4"/>
      <c r="BN77" s="4"/>
      <c r="BO77" s="7"/>
      <c r="BP77" s="6"/>
    </row>
    <row customHeight="true" ht="19" r="78">
      <c r="A78" s="2" t="str">
        <v>RIAU001016</v>
      </c>
      <c r="B78" s="9">
        <v>1234567891040</v>
      </c>
      <c r="C78" s="2" t="str">
        <v>Riau Candles (S)</v>
      </c>
      <c r="D78" s="2" t="str">
        <v>Clean Cotton</v>
      </c>
      <c r="E78" s="5">
        <v>18</v>
      </c>
      <c r="F78" s="5">
        <v>6.5</v>
      </c>
      <c r="G78" s="1">
        <v>3</v>
      </c>
      <c r="H78" s="1"/>
      <c r="I78" s="1"/>
      <c r="J78" s="3"/>
      <c r="K78" s="3"/>
      <c r="L78" s="3"/>
      <c r="M78" s="3"/>
      <c r="N78" s="1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>
        <v>4</v>
      </c>
      <c r="AI78" s="1"/>
      <c r="AJ78" s="1"/>
      <c r="AK78" s="1"/>
      <c r="AL78" s="4"/>
      <c r="AM78" s="4"/>
      <c r="AN78" s="4"/>
      <c r="AO78" s="4"/>
      <c r="AP78" s="4"/>
      <c r="AQ78" s="4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4"/>
      <c r="BN78" s="4"/>
      <c r="BO78" s="7"/>
      <c r="BP78" s="6"/>
    </row>
    <row customHeight="true" ht="19" r="79">
      <c r="A79" s="2"/>
      <c r="B79" s="9">
        <v>2310011105174</v>
      </c>
      <c r="C79" s="2" t="str">
        <v>Riau Candles (S)</v>
      </c>
      <c r="D79" s="2" t="str">
        <v>Coffee &amp; Cream</v>
      </c>
      <c r="E79" s="5">
        <v>18</v>
      </c>
      <c r="F79" s="5">
        <v>6.5</v>
      </c>
      <c r="G79" s="1"/>
      <c r="H79" s="1"/>
      <c r="I79" s="1">
        <v>1</v>
      </c>
      <c r="J79" s="3"/>
      <c r="K79" s="3"/>
      <c r="L79" s="3"/>
      <c r="M79" s="3"/>
      <c r="N79" s="1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1"/>
      <c r="AJ79" s="1"/>
      <c r="AK79" s="1"/>
      <c r="AL79" s="4"/>
      <c r="AM79" s="4"/>
      <c r="AN79" s="4"/>
      <c r="AO79" s="4"/>
      <c r="AP79" s="4"/>
      <c r="AQ79" s="4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>
        <v>5</v>
      </c>
      <c r="BD79" s="1"/>
      <c r="BE79" s="1"/>
      <c r="BF79" s="1"/>
      <c r="BG79" s="1"/>
      <c r="BH79" s="1"/>
      <c r="BI79" s="1"/>
      <c r="BJ79" s="1"/>
      <c r="BK79" s="1"/>
      <c r="BL79" s="1"/>
      <c r="BM79" s="4"/>
      <c r="BN79" s="4"/>
      <c r="BO79" s="7"/>
      <c r="BP79" s="6"/>
    </row>
    <row customHeight="true" ht="19" r="80">
      <c r="A80" s="2"/>
      <c r="B80" s="9">
        <v>2512161056027</v>
      </c>
      <c r="C80" s="2" t="str">
        <v>Riau Candles (S)</v>
      </c>
      <c r="D80" s="2" t="str">
        <v>Daydream</v>
      </c>
      <c r="E80" s="5">
        <v>18</v>
      </c>
      <c r="F80" s="5">
        <v>6.5</v>
      </c>
      <c r="G80" s="1"/>
      <c r="H80" s="1"/>
      <c r="I80" s="1"/>
      <c r="J80" s="3"/>
      <c r="K80" s="3"/>
      <c r="L80" s="3"/>
      <c r="M80" s="3"/>
      <c r="N80" s="1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1"/>
      <c r="AJ80" s="1"/>
      <c r="AK80" s="1"/>
      <c r="AL80" s="4"/>
      <c r="AM80" s="4"/>
      <c r="AN80" s="4"/>
      <c r="AO80" s="4"/>
      <c r="AP80" s="4"/>
      <c r="AQ80" s="4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>
        <v>6</v>
      </c>
      <c r="BK80" s="1"/>
      <c r="BL80" s="1"/>
      <c r="BM80" s="4"/>
      <c r="BN80" s="4"/>
      <c r="BO80" s="7"/>
      <c r="BP80" s="6"/>
    </row>
    <row customHeight="true" ht="19" r="81">
      <c r="A81" s="2" t="str">
        <v>RIAU001010001</v>
      </c>
      <c r="B81" s="9">
        <v>2403121717327</v>
      </c>
      <c r="C81" s="2" t="str">
        <v>Riau Candles (S)</v>
      </c>
      <c r="D81" s="2" t="str">
        <v>Desert Sunset</v>
      </c>
      <c r="E81" s="5">
        <v>18</v>
      </c>
      <c r="F81" s="5">
        <v>6.5</v>
      </c>
      <c r="G81" s="1"/>
      <c r="H81" s="1"/>
      <c r="I81" s="1"/>
      <c r="J81" s="3"/>
      <c r="K81" s="3"/>
      <c r="L81" s="3"/>
      <c r="M81" s="3"/>
      <c r="N81" s="1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1">
        <v>6</v>
      </c>
      <c r="AJ81" s="1"/>
      <c r="AK81" s="1"/>
      <c r="AL81" s="4"/>
      <c r="AM81" s="4"/>
      <c r="AN81" s="4"/>
      <c r="AO81" s="4"/>
      <c r="AP81" s="4"/>
      <c r="AQ81" s="4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4"/>
      <c r="BN81" s="4"/>
      <c r="BO81" s="7"/>
      <c r="BP81" s="6"/>
    </row>
    <row customHeight="true" ht="19" r="82">
      <c r="A82" s="2" t="str">
        <v>RIAU001009</v>
      </c>
      <c r="B82" s="9">
        <v>1234567891057</v>
      </c>
      <c r="C82" s="2" t="str">
        <v>Riau Candles (S)</v>
      </c>
      <c r="D82" s="8" t="str">
        <v>Eucalyptus &amp; Mint</v>
      </c>
      <c r="E82" s="5">
        <v>18</v>
      </c>
      <c r="F82" s="5">
        <v>6.5</v>
      </c>
      <c r="G82" s="1">
        <v>9</v>
      </c>
      <c r="H82" s="1"/>
      <c r="I82" s="1"/>
      <c r="J82" s="3"/>
      <c r="K82" s="3"/>
      <c r="L82" s="3">
        <v>-1</v>
      </c>
      <c r="M82" s="3"/>
      <c r="N82" s="1">
        <v>1</v>
      </c>
      <c r="O82" s="3">
        <v>1</v>
      </c>
      <c r="P82" s="3"/>
      <c r="Q82" s="3"/>
      <c r="R82" s="3"/>
      <c r="S82" s="3">
        <v>6</v>
      </c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>
        <v>2</v>
      </c>
      <c r="AG82" s="3"/>
      <c r="AH82" s="3"/>
      <c r="AI82" s="1"/>
      <c r="AJ82" s="1"/>
      <c r="AK82" s="1"/>
      <c r="AL82" s="4"/>
      <c r="AM82" s="4"/>
      <c r="AN82" s="4"/>
      <c r="AO82" s="4"/>
      <c r="AP82" s="4"/>
      <c r="AQ82" s="4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>
        <v>4</v>
      </c>
      <c r="BD82" s="1"/>
      <c r="BE82" s="1"/>
      <c r="BF82" s="1"/>
      <c r="BG82" s="1"/>
      <c r="BH82" s="1"/>
      <c r="BI82" s="1"/>
      <c r="BJ82" s="1">
        <v>3</v>
      </c>
      <c r="BK82" s="1"/>
      <c r="BL82" s="1"/>
      <c r="BM82" s="4"/>
      <c r="BN82" s="4"/>
      <c r="BO82" s="7"/>
      <c r="BP82" s="6"/>
    </row>
    <row customHeight="true" ht="19" r="83">
      <c r="A83" s="2"/>
      <c r="B83" s="9">
        <v>1234567891064</v>
      </c>
      <c r="C83" s="2" t="str">
        <v>Riau Candles (S)</v>
      </c>
      <c r="D83" s="8" t="str">
        <v>Forest Berry</v>
      </c>
      <c r="E83" s="5">
        <v>18</v>
      </c>
      <c r="F83" s="5">
        <v>6.5</v>
      </c>
      <c r="G83" s="1">
        <v>1</v>
      </c>
      <c r="H83" s="1"/>
      <c r="I83" s="1"/>
      <c r="J83" s="3"/>
      <c r="K83" s="3"/>
      <c r="L83" s="3"/>
      <c r="M83" s="3"/>
      <c r="N83" s="1">
        <v>5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>
        <v>2</v>
      </c>
      <c r="AG83" s="3"/>
      <c r="AH83" s="3"/>
      <c r="AI83" s="1"/>
      <c r="AJ83" s="1"/>
      <c r="AK83" s="1"/>
      <c r="AL83" s="4"/>
      <c r="AM83" s="4"/>
      <c r="AN83" s="4"/>
      <c r="AO83" s="4"/>
      <c r="AP83" s="4"/>
      <c r="AQ83" s="4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4"/>
      <c r="BN83" s="4"/>
      <c r="BO83" s="7"/>
      <c r="BP83" s="6"/>
    </row>
    <row customHeight="true" ht="19" r="84">
      <c r="A84" s="2" t="str">
        <v>RIAU001006</v>
      </c>
      <c r="B84" s="9">
        <v>2210201233253</v>
      </c>
      <c r="C84" s="2" t="str">
        <v>Riau Candles (S)</v>
      </c>
      <c r="D84" s="2" t="str">
        <v>French Vanilla</v>
      </c>
      <c r="E84" s="5">
        <v>18</v>
      </c>
      <c r="F84" s="5">
        <v>6.5</v>
      </c>
      <c r="G84" s="1"/>
      <c r="H84" s="1"/>
      <c r="I84" s="1"/>
      <c r="J84" s="3"/>
      <c r="K84" s="3"/>
      <c r="L84" s="3"/>
      <c r="M84" s="3"/>
      <c r="N84" s="1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>
        <v>6</v>
      </c>
      <c r="AI84" s="1"/>
      <c r="AJ84" s="1"/>
      <c r="AK84" s="1"/>
      <c r="AL84" s="4"/>
      <c r="AM84" s="4"/>
      <c r="AN84" s="4"/>
      <c r="AO84" s="4"/>
      <c r="AP84" s="4"/>
      <c r="AQ84" s="4"/>
      <c r="AR84" s="1"/>
      <c r="AS84" s="1"/>
      <c r="AT84" s="1"/>
      <c r="AU84" s="1"/>
      <c r="AV84" s="1"/>
      <c r="AW84" s="1"/>
      <c r="AX84" s="1"/>
      <c r="AY84" s="1"/>
      <c r="AZ84" s="1">
        <v>-1</v>
      </c>
      <c r="BA84" s="1"/>
      <c r="BB84" s="1"/>
      <c r="BC84" s="1">
        <v>3</v>
      </c>
      <c r="BD84" s="1"/>
      <c r="BE84" s="1"/>
      <c r="BF84" s="1"/>
      <c r="BG84" s="1"/>
      <c r="BH84" s="1"/>
      <c r="BI84" s="1"/>
      <c r="BJ84" s="1"/>
      <c r="BK84" s="1"/>
      <c r="BL84" s="1"/>
      <c r="BM84" s="4"/>
      <c r="BN84" s="4"/>
      <c r="BO84" s="7"/>
      <c r="BP84" s="6"/>
    </row>
    <row customHeight="true" ht="19" r="85">
      <c r="A85" s="2" t="str">
        <v>RIAU001008</v>
      </c>
      <c r="B85" s="9">
        <v>1234567891071</v>
      </c>
      <c r="C85" s="2" t="str">
        <v>Riau Candles (S)</v>
      </c>
      <c r="D85" s="2" t="str">
        <v>Honeysuckle Jasmine</v>
      </c>
      <c r="E85" s="5">
        <v>18</v>
      </c>
      <c r="F85" s="5">
        <v>6.5</v>
      </c>
      <c r="G85" s="1"/>
      <c r="H85" s="1"/>
      <c r="I85" s="1"/>
      <c r="J85" s="3"/>
      <c r="K85" s="3"/>
      <c r="L85" s="3"/>
      <c r="M85" s="3"/>
      <c r="N85" s="1">
        <v>4</v>
      </c>
      <c r="O85" s="3"/>
      <c r="P85" s="3"/>
      <c r="Q85" s="3"/>
      <c r="R85" s="3"/>
      <c r="S85" s="3">
        <v>2</v>
      </c>
      <c r="T85" s="3"/>
      <c r="U85" s="3"/>
      <c r="V85" s="3">
        <v>4</v>
      </c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1"/>
      <c r="AJ85" s="1"/>
      <c r="AK85" s="1"/>
      <c r="AL85" s="4"/>
      <c r="AM85" s="4"/>
      <c r="AN85" s="4"/>
      <c r="AO85" s="4"/>
      <c r="AP85" s="4"/>
      <c r="AQ85" s="4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4"/>
      <c r="BN85" s="4"/>
      <c r="BO85" s="7"/>
      <c r="BP85" s="6"/>
    </row>
    <row customHeight="true" ht="19" r="86">
      <c r="A86" s="2"/>
      <c r="B86" s="9">
        <v>1234567891088</v>
      </c>
      <c r="C86" s="2" t="str">
        <v>Riau Candles (S)</v>
      </c>
      <c r="D86" s="22" t="str">
        <v>Island Coconut</v>
      </c>
      <c r="E86" s="5">
        <v>18</v>
      </c>
      <c r="F86" s="5">
        <v>6.5</v>
      </c>
      <c r="G86" s="1">
        <v>2</v>
      </c>
      <c r="H86" s="1"/>
      <c r="I86" s="1"/>
      <c r="J86" s="3"/>
      <c r="K86" s="3"/>
      <c r="L86" s="3"/>
      <c r="M86" s="3">
        <v>1</v>
      </c>
      <c r="N86" s="1">
        <v>5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>
        <v>2</v>
      </c>
      <c r="AB86" s="3"/>
      <c r="AC86" s="3"/>
      <c r="AD86" s="3"/>
      <c r="AE86" s="3"/>
      <c r="AF86" s="3"/>
      <c r="AG86" s="3"/>
      <c r="AH86" s="3"/>
      <c r="AI86" s="1"/>
      <c r="AJ86" s="1"/>
      <c r="AK86" s="1"/>
      <c r="AL86" s="4"/>
      <c r="AM86" s="4"/>
      <c r="AN86" s="4"/>
      <c r="AO86" s="4"/>
      <c r="AP86" s="4"/>
      <c r="AQ86" s="4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>
        <v>5</v>
      </c>
      <c r="BD86" s="1"/>
      <c r="BE86" s="1"/>
      <c r="BF86" s="1"/>
      <c r="BG86" s="1"/>
      <c r="BH86" s="1"/>
      <c r="BI86" s="1"/>
      <c r="BJ86" s="1"/>
      <c r="BK86" s="1"/>
      <c r="BL86" s="1"/>
      <c r="BM86" s="4"/>
      <c r="BN86" s="4"/>
      <c r="BO86" s="7"/>
      <c r="BP86" s="6"/>
    </row>
    <row customHeight="true" ht="19" r="87">
      <c r="A87" s="2"/>
      <c r="B87" s="9">
        <v>1234567891095</v>
      </c>
      <c r="C87" s="2" t="str">
        <v>Riau Candles (S)</v>
      </c>
      <c r="D87" s="8" t="str">
        <v>Island Driftwood</v>
      </c>
      <c r="E87" s="5">
        <v>18</v>
      </c>
      <c r="F87" s="5">
        <v>6.5</v>
      </c>
      <c r="G87" s="1">
        <v>6</v>
      </c>
      <c r="H87" s="1"/>
      <c r="I87" s="1"/>
      <c r="J87" s="3"/>
      <c r="K87" s="3">
        <v>1</v>
      </c>
      <c r="L87" s="3"/>
      <c r="M87" s="3"/>
      <c r="N87" s="1"/>
      <c r="O87" s="3"/>
      <c r="P87" s="3"/>
      <c r="Q87" s="3"/>
      <c r="R87" s="3"/>
      <c r="S87" s="3"/>
      <c r="T87" s="3">
        <v>4</v>
      </c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>
        <v>6</v>
      </c>
      <c r="AG87" s="3"/>
      <c r="AH87" s="3"/>
      <c r="AI87" s="1"/>
      <c r="AJ87" s="1"/>
      <c r="AK87" s="1"/>
      <c r="AL87" s="4"/>
      <c r="AM87" s="4"/>
      <c r="AN87" s="4"/>
      <c r="AO87" s="4"/>
      <c r="AP87" s="4"/>
      <c r="AQ87" s="4"/>
      <c r="AR87" s="1"/>
      <c r="AS87" s="1"/>
      <c r="AT87" s="1"/>
      <c r="AU87" s="1"/>
      <c r="AV87" s="1"/>
      <c r="AW87" s="1"/>
      <c r="AX87" s="1"/>
      <c r="AY87" s="1"/>
      <c r="AZ87" s="1">
        <v>-1</v>
      </c>
      <c r="BA87" s="1"/>
      <c r="BB87" s="1"/>
      <c r="BC87" s="1">
        <v>4</v>
      </c>
      <c r="BD87" s="1"/>
      <c r="BE87" s="1">
        <v>3</v>
      </c>
      <c r="BF87" s="1"/>
      <c r="BG87" s="1"/>
      <c r="BH87" s="1"/>
      <c r="BI87" s="1"/>
      <c r="BJ87" s="1"/>
      <c r="BK87" s="1"/>
      <c r="BL87" s="1"/>
      <c r="BM87" s="4"/>
      <c r="BN87" s="4"/>
      <c r="BO87" s="7"/>
      <c r="BP87" s="6"/>
    </row>
    <row customHeight="true" ht="19" r="88">
      <c r="A88" s="2" t="str">
        <v>RIAU001003</v>
      </c>
      <c r="B88" s="9">
        <v>1234567891118</v>
      </c>
      <c r="C88" s="2" t="str">
        <v>Riau Candles (S)</v>
      </c>
      <c r="D88" s="2" t="str">
        <v>Lavender</v>
      </c>
      <c r="E88" s="5">
        <v>18</v>
      </c>
      <c r="F88" s="5">
        <v>6.5</v>
      </c>
      <c r="G88" s="1">
        <v>5</v>
      </c>
      <c r="H88" s="1"/>
      <c r="I88" s="1"/>
      <c r="J88" s="3"/>
      <c r="K88" s="3"/>
      <c r="L88" s="3"/>
      <c r="M88" s="3"/>
      <c r="N88" s="1">
        <v>4</v>
      </c>
      <c r="O88" s="3"/>
      <c r="P88" s="3"/>
      <c r="Q88" s="3"/>
      <c r="R88" s="3"/>
      <c r="S88" s="3">
        <v>4</v>
      </c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>
        <v>4</v>
      </c>
      <c r="AG88" s="3"/>
      <c r="AH88" s="3">
        <v>4</v>
      </c>
      <c r="AI88" s="1">
        <v>6</v>
      </c>
      <c r="AJ88" s="1"/>
      <c r="AK88" s="1"/>
      <c r="AL88" s="4"/>
      <c r="AM88" s="4"/>
      <c r="AN88" s="4"/>
      <c r="AO88" s="4"/>
      <c r="AP88" s="4"/>
      <c r="AQ88" s="4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>
        <v>4</v>
      </c>
      <c r="BD88" s="1"/>
      <c r="BE88" s="1"/>
      <c r="BF88" s="1"/>
      <c r="BG88" s="1"/>
      <c r="BH88" s="1"/>
      <c r="BI88" s="1"/>
      <c r="BJ88" s="1"/>
      <c r="BK88" s="1"/>
      <c r="BL88" s="1"/>
      <c r="BM88" s="4"/>
      <c r="BN88" s="4"/>
      <c r="BO88" s="7"/>
      <c r="BP88" s="6"/>
    </row>
    <row customHeight="true" ht="19" r="89">
      <c r="A89" s="2" t="str">
        <v>RIAU001018</v>
      </c>
      <c r="B89" s="9">
        <v>1234567891125</v>
      </c>
      <c r="C89" s="2" t="str">
        <v>Riau Candles (S)</v>
      </c>
      <c r="D89" s="8" t="str">
        <v>Lemongrass Tea</v>
      </c>
      <c r="E89" s="5">
        <v>18</v>
      </c>
      <c r="F89" s="5">
        <v>6.5</v>
      </c>
      <c r="G89" s="1">
        <v>4</v>
      </c>
      <c r="H89" s="1"/>
      <c r="I89" s="1"/>
      <c r="J89" s="3"/>
      <c r="K89" s="3"/>
      <c r="L89" s="3">
        <v>-1</v>
      </c>
      <c r="M89" s="3"/>
      <c r="N89" s="1">
        <v>3</v>
      </c>
      <c r="O89" s="3">
        <v>1</v>
      </c>
      <c r="P89" s="3"/>
      <c r="Q89" s="3"/>
      <c r="R89" s="3"/>
      <c r="S89" s="3">
        <v>8</v>
      </c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>
        <v>4</v>
      </c>
      <c r="AI89" s="1"/>
      <c r="AJ89" s="1"/>
      <c r="AK89" s="1"/>
      <c r="AL89" s="4"/>
      <c r="AM89" s="4"/>
      <c r="AN89" s="4"/>
      <c r="AO89" s="4"/>
      <c r="AP89" s="4"/>
      <c r="AQ89" s="4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>
        <v>2</v>
      </c>
      <c r="BD89" s="1"/>
      <c r="BE89" s="1"/>
      <c r="BF89" s="1"/>
      <c r="BG89" s="1"/>
      <c r="BH89" s="1"/>
      <c r="BI89" s="1"/>
      <c r="BJ89" s="1">
        <v>7</v>
      </c>
      <c r="BK89" s="1"/>
      <c r="BL89" s="1"/>
      <c r="BM89" s="4"/>
      <c r="BN89" s="4"/>
      <c r="BO89" s="7"/>
      <c r="BP89" s="6"/>
    </row>
    <row customHeight="true" ht="19" r="90">
      <c r="A90" s="2" t="str">
        <v>RIAU001001</v>
      </c>
      <c r="B90" s="9">
        <v>2502210910097</v>
      </c>
      <c r="C90" s="2" t="str">
        <v>Riau Candles (S)</v>
      </c>
      <c r="D90" s="2" t="str">
        <v>Matcha &amp; Bergamot</v>
      </c>
      <c r="E90" s="5">
        <v>18</v>
      </c>
      <c r="F90" s="5">
        <v>6.5</v>
      </c>
      <c r="G90" s="1"/>
      <c r="H90" s="1"/>
      <c r="I90" s="1"/>
      <c r="J90" s="3"/>
      <c r="K90" s="3"/>
      <c r="L90" s="3"/>
      <c r="M90" s="3"/>
      <c r="N90" s="1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1"/>
      <c r="AJ90" s="1"/>
      <c r="AK90" s="1"/>
      <c r="AL90" s="4"/>
      <c r="AM90" s="4"/>
      <c r="AN90" s="4"/>
      <c r="AO90" s="4"/>
      <c r="AP90" s="4"/>
      <c r="AQ90" s="4"/>
      <c r="AR90" s="1"/>
      <c r="AS90" s="1"/>
      <c r="AT90" s="1"/>
      <c r="AU90" s="1"/>
      <c r="AV90" s="1"/>
      <c r="AW90" s="1">
        <v>4</v>
      </c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>
        <v>4</v>
      </c>
      <c r="BK90" s="1"/>
      <c r="BL90" s="1"/>
      <c r="BM90" s="4"/>
      <c r="BN90" s="4"/>
      <c r="BO90" s="7"/>
      <c r="BP90" s="6"/>
    </row>
    <row customHeight="true" ht="19" r="91">
      <c r="A91" s="2" t="str">
        <v>RIAU001012</v>
      </c>
      <c r="B91" s="9">
        <v>1234567891132</v>
      </c>
      <c r="C91" s="2" t="str">
        <v>Riau Candles (S)</v>
      </c>
      <c r="D91" s="2" t="str">
        <v>Merry Mistletoe</v>
      </c>
      <c r="E91" s="5">
        <v>18</v>
      </c>
      <c r="F91" s="5">
        <v>6.5</v>
      </c>
      <c r="G91" s="1">
        <v>1</v>
      </c>
      <c r="H91" s="1"/>
      <c r="I91" s="1"/>
      <c r="J91" s="3"/>
      <c r="K91" s="3"/>
      <c r="L91" s="3"/>
      <c r="M91" s="3"/>
      <c r="N91" s="1"/>
      <c r="O91" s="3"/>
      <c r="P91" s="3"/>
      <c r="Q91" s="3"/>
      <c r="R91" s="3"/>
      <c r="S91" s="3">
        <v>8</v>
      </c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>
        <v>6</v>
      </c>
      <c r="AG91" s="3"/>
      <c r="AH91" s="3">
        <v>4</v>
      </c>
      <c r="AI91" s="1"/>
      <c r="AJ91" s="1"/>
      <c r="AK91" s="1"/>
      <c r="AL91" s="4"/>
      <c r="AM91" s="4"/>
      <c r="AN91" s="4">
        <v>4</v>
      </c>
      <c r="AO91" s="4"/>
      <c r="AP91" s="4">
        <v>-6</v>
      </c>
      <c r="AQ91" s="4"/>
      <c r="AR91" s="1"/>
      <c r="AS91" s="1"/>
      <c r="AT91" s="1"/>
      <c r="AU91" s="1"/>
      <c r="AV91" s="1"/>
      <c r="AW91" s="1">
        <v>4</v>
      </c>
      <c r="AX91" s="1"/>
      <c r="AY91" s="1"/>
      <c r="AZ91" s="1"/>
      <c r="BA91" s="1"/>
      <c r="BB91" s="1"/>
      <c r="BC91" s="1">
        <v>2</v>
      </c>
      <c r="BD91" s="1"/>
      <c r="BE91" s="1"/>
      <c r="BF91" s="1"/>
      <c r="BG91" s="1"/>
      <c r="BH91" s="1"/>
      <c r="BI91" s="1"/>
      <c r="BJ91" s="1">
        <v>5</v>
      </c>
      <c r="BK91" s="1"/>
      <c r="BL91" s="1"/>
      <c r="BM91" s="4"/>
      <c r="BN91" s="4"/>
      <c r="BO91" s="7"/>
      <c r="BP91" s="6"/>
    </row>
    <row customHeight="true" ht="19" r="92">
      <c r="A92" s="2" t="str">
        <v>RIAU001019</v>
      </c>
      <c r="B92" s="9">
        <v>1234567891149</v>
      </c>
      <c r="C92" s="2" t="str">
        <v>Riau Candles (S)</v>
      </c>
      <c r="D92" s="8" t="str">
        <v>Mountain Rain</v>
      </c>
      <c r="E92" s="5">
        <v>18</v>
      </c>
      <c r="F92" s="5">
        <v>6.5</v>
      </c>
      <c r="G92" s="1">
        <v>7</v>
      </c>
      <c r="H92" s="1"/>
      <c r="I92" s="1"/>
      <c r="J92" s="3"/>
      <c r="K92" s="3">
        <v>-1</v>
      </c>
      <c r="L92" s="3"/>
      <c r="M92" s="3"/>
      <c r="N92" s="1">
        <v>6</v>
      </c>
      <c r="O92" s="3"/>
      <c r="P92" s="3"/>
      <c r="Q92" s="3"/>
      <c r="R92" s="3"/>
      <c r="S92" s="3">
        <v>4</v>
      </c>
      <c r="T92" s="3"/>
      <c r="U92" s="3"/>
      <c r="V92" s="3"/>
      <c r="W92" s="3"/>
      <c r="X92" s="3"/>
      <c r="Y92" s="3"/>
      <c r="Z92" s="3"/>
      <c r="AA92" s="3">
        <v>2</v>
      </c>
      <c r="AB92" s="3"/>
      <c r="AC92" s="3"/>
      <c r="AD92" s="3"/>
      <c r="AE92" s="3"/>
      <c r="AF92" s="3">
        <v>4</v>
      </c>
      <c r="AG92" s="3"/>
      <c r="AH92" s="3">
        <v>6</v>
      </c>
      <c r="AI92" s="1"/>
      <c r="AJ92" s="1">
        <v>-1</v>
      </c>
      <c r="AK92" s="1"/>
      <c r="AL92" s="4"/>
      <c r="AM92" s="4"/>
      <c r="AN92" s="4">
        <v>4</v>
      </c>
      <c r="AO92" s="4"/>
      <c r="AP92" s="4"/>
      <c r="AQ92" s="4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>
        <v>-1</v>
      </c>
      <c r="BH92" s="1"/>
      <c r="BI92" s="1"/>
      <c r="BJ92" s="1">
        <v>4</v>
      </c>
      <c r="BK92" s="1"/>
      <c r="BL92" s="1"/>
      <c r="BM92" s="4"/>
      <c r="BN92" s="4"/>
      <c r="BO92" s="7"/>
      <c r="BP92" s="6"/>
    </row>
    <row customHeight="true" ht="19" r="93">
      <c r="A93" s="2" t="str">
        <v>RIAU001013</v>
      </c>
      <c r="B93" s="9">
        <v>1234567891156</v>
      </c>
      <c r="C93" s="2" t="str">
        <v>Riau Candles (S)</v>
      </c>
      <c r="D93" s="8" t="str">
        <v>Sandalwood &amp; Citrus</v>
      </c>
      <c r="E93" s="5">
        <v>18</v>
      </c>
      <c r="F93" s="5">
        <v>6.5</v>
      </c>
      <c r="G93" s="1">
        <v>9</v>
      </c>
      <c r="H93" s="1"/>
      <c r="I93" s="1"/>
      <c r="J93" s="3"/>
      <c r="K93" s="3"/>
      <c r="L93" s="3"/>
      <c r="M93" s="3"/>
      <c r="N93" s="1"/>
      <c r="O93" s="3"/>
      <c r="P93" s="3"/>
      <c r="Q93" s="3"/>
      <c r="R93" s="3"/>
      <c r="S93" s="3">
        <v>2</v>
      </c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>
        <v>-2</v>
      </c>
      <c r="AH93" s="3">
        <v>6</v>
      </c>
      <c r="AI93" s="1"/>
      <c r="AJ93" s="1"/>
      <c r="AK93" s="1"/>
      <c r="AL93" s="4"/>
      <c r="AM93" s="4"/>
      <c r="AN93" s="4"/>
      <c r="AO93" s="4"/>
      <c r="AP93" s="4"/>
      <c r="AQ93" s="4"/>
      <c r="AR93" s="1"/>
      <c r="AS93" s="1">
        <v>-1</v>
      </c>
      <c r="AT93" s="1"/>
      <c r="AU93" s="1"/>
      <c r="AV93" s="1"/>
      <c r="AW93" s="1">
        <v>2</v>
      </c>
      <c r="AX93" s="1"/>
      <c r="AY93" s="1"/>
      <c r="AZ93" s="1">
        <v>-1</v>
      </c>
      <c r="BA93" s="1"/>
      <c r="BB93" s="1"/>
      <c r="BC93" s="1">
        <v>3</v>
      </c>
      <c r="BD93" s="1"/>
      <c r="BE93" s="1"/>
      <c r="BF93" s="1"/>
      <c r="BG93" s="1"/>
      <c r="BH93" s="1"/>
      <c r="BI93" s="1"/>
      <c r="BJ93" s="1"/>
      <c r="BK93" s="1">
        <v>-1</v>
      </c>
      <c r="BL93" s="1"/>
      <c r="BM93" s="4"/>
      <c r="BN93" s="4"/>
      <c r="BO93" s="7"/>
      <c r="BP93" s="6"/>
    </row>
    <row customHeight="true" ht="19" r="94">
      <c r="A94" s="2"/>
      <c r="B94" s="9">
        <v>1234567891163</v>
      </c>
      <c r="C94" s="2" t="str">
        <v>Riau Candles (S)</v>
      </c>
      <c r="D94" s="2" t="str">
        <v>Spice Market</v>
      </c>
      <c r="E94" s="5">
        <v>18</v>
      </c>
      <c r="F94" s="5">
        <v>6.5</v>
      </c>
      <c r="G94" s="1">
        <v>9</v>
      </c>
      <c r="H94" s="1"/>
      <c r="I94" s="1"/>
      <c r="J94" s="3"/>
      <c r="K94" s="3"/>
      <c r="L94" s="3"/>
      <c r="M94" s="3"/>
      <c r="N94" s="1"/>
      <c r="O94" s="3"/>
      <c r="P94" s="3"/>
      <c r="Q94" s="3">
        <v>1</v>
      </c>
      <c r="R94" s="3">
        <v>-1</v>
      </c>
      <c r="S94" s="3"/>
      <c r="T94" s="3"/>
      <c r="U94" s="3"/>
      <c r="V94" s="3"/>
      <c r="W94" s="3"/>
      <c r="X94" s="3"/>
      <c r="Y94" s="3"/>
      <c r="Z94" s="3"/>
      <c r="AA94" s="3">
        <v>2</v>
      </c>
      <c r="AB94" s="3"/>
      <c r="AC94" s="3"/>
      <c r="AD94" s="3"/>
      <c r="AE94" s="3"/>
      <c r="AF94" s="3">
        <v>2</v>
      </c>
      <c r="AG94" s="3"/>
      <c r="AH94" s="3"/>
      <c r="AI94" s="1"/>
      <c r="AJ94" s="1"/>
      <c r="AK94" s="1"/>
      <c r="AL94" s="4"/>
      <c r="AM94" s="4"/>
      <c r="AN94" s="4">
        <v>2</v>
      </c>
      <c r="AO94" s="4"/>
      <c r="AP94" s="4"/>
      <c r="AQ94" s="4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>
        <v>2</v>
      </c>
      <c r="BK94" s="1"/>
      <c r="BL94" s="1"/>
      <c r="BM94" s="4"/>
      <c r="BN94" s="4"/>
      <c r="BO94" s="7"/>
      <c r="BP94" s="6"/>
    </row>
    <row customHeight="true" ht="19" r="95">
      <c r="A95" s="2"/>
      <c r="B95" s="9">
        <v>2502210910035</v>
      </c>
      <c r="C95" s="2" t="str">
        <v>Riau Candles (S)</v>
      </c>
      <c r="D95" s="2" t="str">
        <v>Tonka &amp; Oud</v>
      </c>
      <c r="E95" s="5">
        <v>18</v>
      </c>
      <c r="F95" s="5">
        <v>6.5</v>
      </c>
      <c r="G95" s="1"/>
      <c r="H95" s="1"/>
      <c r="I95" s="1"/>
      <c r="J95" s="3"/>
      <c r="K95" s="3"/>
      <c r="L95" s="3"/>
      <c r="M95" s="3"/>
      <c r="N95" s="1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1"/>
      <c r="AJ95" s="1"/>
      <c r="AK95" s="1"/>
      <c r="AL95" s="4"/>
      <c r="AM95" s="4"/>
      <c r="AN95" s="4"/>
      <c r="AO95" s="4"/>
      <c r="AP95" s="4"/>
      <c r="AQ95" s="4"/>
      <c r="AR95" s="1"/>
      <c r="AS95" s="1"/>
      <c r="AT95" s="1"/>
      <c r="AU95" s="1"/>
      <c r="AV95" s="1"/>
      <c r="AW95" s="1">
        <v>4</v>
      </c>
      <c r="AX95" s="1"/>
      <c r="AY95" s="1"/>
      <c r="AZ95" s="1"/>
      <c r="BA95" s="1"/>
      <c r="BB95" s="1"/>
      <c r="BC95" s="1">
        <v>3</v>
      </c>
      <c r="BD95" s="1"/>
      <c r="BE95" s="1"/>
      <c r="BF95" s="1"/>
      <c r="BG95" s="1"/>
      <c r="BH95" s="1"/>
      <c r="BI95" s="1"/>
      <c r="BJ95" s="1">
        <v>4</v>
      </c>
      <c r="BK95" s="1"/>
      <c r="BL95" s="1"/>
      <c r="BM95" s="4"/>
      <c r="BN95" s="4"/>
      <c r="BO95" s="7"/>
      <c r="BP95" s="6"/>
    </row>
    <row customHeight="true" ht="19" r="96">
      <c r="A96" s="2"/>
      <c r="B96" s="9">
        <v>1234567891170</v>
      </c>
      <c r="C96" s="2" t="str">
        <v>Riau Candles (S)</v>
      </c>
      <c r="D96" s="8" t="str">
        <v>Vanilla &amp; Spice</v>
      </c>
      <c r="E96" s="5">
        <v>18</v>
      </c>
      <c r="F96" s="5">
        <v>6.5</v>
      </c>
      <c r="G96" s="1">
        <v>8</v>
      </c>
      <c r="H96" s="1"/>
      <c r="I96" s="1"/>
      <c r="J96" s="3"/>
      <c r="K96" s="3"/>
      <c r="L96" s="3"/>
      <c r="M96" s="3"/>
      <c r="N96" s="1"/>
      <c r="O96" s="3"/>
      <c r="P96" s="3"/>
      <c r="Q96" s="3"/>
      <c r="R96" s="3"/>
      <c r="S96" s="3">
        <v>2</v>
      </c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>
        <v>6</v>
      </c>
      <c r="AI96" s="1"/>
      <c r="AJ96" s="1"/>
      <c r="AK96" s="1"/>
      <c r="AL96" s="4"/>
      <c r="AM96" s="4"/>
      <c r="AN96" s="4"/>
      <c r="AO96" s="4"/>
      <c r="AP96" s="4"/>
      <c r="AQ96" s="4"/>
      <c r="AR96" s="1"/>
      <c r="AS96" s="1"/>
      <c r="AT96" s="1"/>
      <c r="AU96" s="1"/>
      <c r="AV96" s="1"/>
      <c r="AW96" s="1"/>
      <c r="AX96" s="1"/>
      <c r="AY96" s="1"/>
      <c r="AZ96" s="1">
        <v>-1</v>
      </c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4"/>
      <c r="BN96" s="4"/>
      <c r="BO96" s="7"/>
      <c r="BP96" s="6"/>
    </row>
    <row customHeight="true" ht="19" r="97">
      <c r="A97" s="2" t="str">
        <v>RIAU001015</v>
      </c>
      <c r="B97" s="9">
        <v>2310011107482</v>
      </c>
      <c r="C97" s="2" t="str">
        <v>Riau Candles (S)</v>
      </c>
      <c r="D97" s="2" t="str">
        <v>Whiskey River</v>
      </c>
      <c r="E97" s="5">
        <v>18</v>
      </c>
      <c r="F97" s="5">
        <v>6.5</v>
      </c>
      <c r="G97" s="1"/>
      <c r="H97" s="1"/>
      <c r="I97" s="1"/>
      <c r="J97" s="3"/>
      <c r="K97" s="3"/>
      <c r="L97" s="3"/>
      <c r="M97" s="3"/>
      <c r="N97" s="1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1"/>
      <c r="AJ97" s="1"/>
      <c r="AK97" s="1"/>
      <c r="AL97" s="4"/>
      <c r="AM97" s="4"/>
      <c r="AN97" s="4"/>
      <c r="AO97" s="4"/>
      <c r="AP97" s="4"/>
      <c r="AQ97" s="4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4"/>
      <c r="BN97" s="4"/>
      <c r="BO97" s="7"/>
      <c r="BP97" s="6"/>
    </row>
    <row customHeight="true" ht="19" r="98">
      <c r="A98" s="2"/>
      <c r="B98" s="32">
        <v>1234567891187</v>
      </c>
      <c r="C98" s="2" t="str">
        <v>Riau Candles (S)</v>
      </c>
      <c r="D98" s="31" t="str">
        <v>White Lily</v>
      </c>
      <c r="E98" s="33">
        <v>18</v>
      </c>
      <c r="F98" s="33">
        <v>6.5</v>
      </c>
      <c r="G98" s="1"/>
      <c r="H98" s="1"/>
      <c r="I98" s="1"/>
      <c r="J98" s="3"/>
      <c r="K98" s="3"/>
      <c r="L98" s="3"/>
      <c r="M98" s="3"/>
      <c r="N98" s="1">
        <v>5</v>
      </c>
      <c r="O98" s="3"/>
      <c r="P98" s="3"/>
      <c r="Q98" s="3"/>
      <c r="R98" s="3"/>
      <c r="S98" s="3">
        <v>6</v>
      </c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>
        <v>6</v>
      </c>
      <c r="AG98" s="3"/>
      <c r="AH98" s="3"/>
      <c r="AI98" s="1"/>
      <c r="AJ98" s="1"/>
      <c r="AK98" s="1"/>
      <c r="AL98" s="4"/>
      <c r="AM98" s="4"/>
      <c r="AN98" s="4"/>
      <c r="AO98" s="4"/>
      <c r="AP98" s="4"/>
      <c r="AQ98" s="4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>
        <v>2</v>
      </c>
      <c r="BD98" s="1"/>
      <c r="BE98" s="1">
        <v>5</v>
      </c>
      <c r="BF98" s="1"/>
      <c r="BG98" s="1"/>
      <c r="BH98" s="1"/>
      <c r="BI98" s="1"/>
      <c r="BJ98" s="1"/>
      <c r="BK98" s="1"/>
      <c r="BL98" s="1"/>
      <c r="BM98" s="4"/>
      <c r="BN98" s="4"/>
      <c r="BO98" s="7"/>
      <c r="BP98" s="6"/>
    </row>
    <row customHeight="true" ht="19" r="99">
      <c r="A99" s="2" t="str">
        <v>RIAU001005</v>
      </c>
      <c r="B99" s="9" t="str">
        <v>1234567891194</v>
      </c>
      <c r="C99" s="2" t="str">
        <v>Riau Candles (S)</v>
      </c>
      <c r="D99" s="8" t="str">
        <v>Wild Rose</v>
      </c>
      <c r="E99" s="5" t="str">
        <v>$18.00</v>
      </c>
      <c r="F99" s="5" t="str">
        <v>$6.50</v>
      </c>
      <c r="G99" s="1" t="str">
        <v>8</v>
      </c>
      <c r="H99" s="1"/>
      <c r="I99" s="1"/>
      <c r="J99" s="3"/>
      <c r="K99" s="3"/>
      <c r="L99" s="3"/>
      <c r="M99" s="3"/>
      <c r="N99" s="1"/>
      <c r="O99" s="3"/>
      <c r="P99" s="3"/>
      <c r="Q99" s="3"/>
      <c r="R99" s="3"/>
      <c r="S99" s="3" t="str">
        <v>6</v>
      </c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 t="str">
        <v>6</v>
      </c>
      <c r="AG99" s="3"/>
      <c r="AH99" s="3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7"/>
      <c r="BP99" s="6"/>
    </row>
    <row customHeight="true" ht="17" r="100">
      <c r="A100" s="39"/>
      <c r="B100" s="40"/>
      <c r="C100" s="41"/>
      <c r="D100" s="41"/>
      <c r="E100" s="15"/>
      <c r="F100" s="38"/>
      <c r="G100" s="37"/>
      <c r="H100" s="37"/>
      <c r="I100" s="37"/>
      <c r="J100" s="37"/>
      <c r="K100" s="37"/>
      <c r="L100" s="37"/>
      <c r="M100" s="37"/>
      <c r="N100" s="5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15"/>
      <c r="AJ100" s="15"/>
      <c r="AK100" s="15"/>
      <c r="AL100" s="1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37"/>
      <c r="BO100" s="7"/>
      <c r="BP100" s="6"/>
    </row>
    <row customHeight="true" ht="17" r="101">
      <c r="A101" s="13"/>
      <c r="B101" s="12"/>
      <c r="C101" s="13"/>
      <c r="D101" s="13"/>
      <c r="E101" s="15"/>
      <c r="F101" s="15"/>
      <c r="G101" s="10"/>
      <c r="H101" s="10"/>
      <c r="I101" s="10"/>
      <c r="J101" s="10"/>
      <c r="K101" s="10"/>
      <c r="L101" s="10"/>
      <c r="M101" s="10"/>
      <c r="N101" s="11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2"/>
      <c r="BP101" s="14"/>
    </row>
    <row customHeight="true" ht="260" r="102">
      <c r="A102" s="23"/>
      <c r="B102" s="25"/>
      <c r="C102" s="23"/>
      <c r="D102" s="23"/>
      <c r="E102" s="26"/>
      <c r="F102" s="26"/>
      <c r="G102" s="24"/>
      <c r="H102" s="24"/>
      <c r="I102" s="24"/>
      <c r="J102" s="24"/>
      <c r="K102" s="24"/>
      <c r="L102" s="24"/>
      <c r="M102" s="24"/>
      <c r="N102" s="1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2"/>
      <c r="BP102" s="14"/>
    </row>
    <row customHeight="true" ht="17" r="103">
      <c r="A103" s="13"/>
      <c r="B103" s="12"/>
      <c r="C103" s="13"/>
      <c r="D103" s="13"/>
      <c r="E103" s="15"/>
      <c r="F103" s="15"/>
      <c r="G103" s="10"/>
      <c r="H103" s="10"/>
      <c r="I103" s="10"/>
      <c r="J103" s="10"/>
      <c r="K103" s="10"/>
      <c r="L103" s="10"/>
      <c r="M103" s="10"/>
      <c r="N103" s="11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2"/>
      <c r="BP103" s="14"/>
    </row>
    <row customHeight="true" ht="17" r="104">
      <c r="A104" s="13"/>
      <c r="B104" s="12"/>
      <c r="C104" s="13"/>
      <c r="D104" s="13"/>
      <c r="E104" s="15"/>
      <c r="F104" s="15"/>
      <c r="G104" s="10"/>
      <c r="H104" s="10"/>
      <c r="I104" s="10"/>
      <c r="J104" s="10"/>
      <c r="K104" s="10"/>
      <c r="L104" s="10"/>
      <c r="M104" s="10"/>
      <c r="N104" s="11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2"/>
      <c r="BP104" s="14"/>
    </row>
    <row customHeight="true" ht="17" r="105">
      <c r="A105" s="13"/>
      <c r="B105" s="12"/>
      <c r="C105" s="13"/>
      <c r="D105" s="13"/>
      <c r="E105" s="15"/>
      <c r="F105" s="15"/>
      <c r="G105" s="10"/>
      <c r="H105" s="10"/>
      <c r="I105" s="10"/>
      <c r="J105" s="10"/>
      <c r="K105" s="10"/>
      <c r="L105" s="10"/>
      <c r="M105" s="10"/>
      <c r="N105" s="11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2"/>
      <c r="BP105" s="14"/>
    </row>
    <row customHeight="true" ht="17" r="106">
      <c r="A106" s="13"/>
      <c r="B106" s="12"/>
      <c r="C106" s="13"/>
      <c r="D106" s="13"/>
      <c r="E106" s="15"/>
      <c r="F106" s="15"/>
      <c r="G106" s="10"/>
      <c r="H106" s="10"/>
      <c r="I106" s="10"/>
      <c r="J106" s="10"/>
      <c r="K106" s="10"/>
      <c r="L106" s="10"/>
      <c r="M106" s="10"/>
      <c r="N106" s="11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2"/>
      <c r="BP106" s="14"/>
    </row>
    <row customHeight="true" ht="17" r="107">
      <c r="A107" s="13"/>
      <c r="B107" s="12"/>
      <c r="C107" s="13"/>
      <c r="D107" s="13"/>
      <c r="E107" s="15"/>
      <c r="F107" s="15"/>
      <c r="G107" s="10"/>
      <c r="H107" s="10"/>
      <c r="I107" s="10"/>
      <c r="J107" s="10"/>
      <c r="K107" s="10"/>
      <c r="L107" s="10"/>
      <c r="M107" s="10"/>
      <c r="N107" s="11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2"/>
      <c r="BP107" s="14"/>
    </row>
    <row customHeight="true" ht="17" r="108">
      <c r="A108" s="13"/>
      <c r="B108" s="12"/>
      <c r="C108" s="13"/>
      <c r="D108" s="13"/>
      <c r="E108" s="15"/>
      <c r="F108" s="15"/>
      <c r="G108" s="10"/>
      <c r="H108" s="10"/>
      <c r="I108" s="10"/>
      <c r="J108" s="10"/>
      <c r="K108" s="10"/>
      <c r="L108" s="10"/>
      <c r="M108" s="10"/>
      <c r="N108" s="11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2"/>
      <c r="BP108" s="14"/>
    </row>
    <row customHeight="true" ht="17" r="109">
      <c r="A109" s="13"/>
      <c r="B109" s="12"/>
      <c r="C109" s="13"/>
      <c r="D109" s="13"/>
      <c r="E109" s="15"/>
      <c r="F109" s="15"/>
      <c r="G109" s="10"/>
      <c r="H109" s="10"/>
      <c r="I109" s="10"/>
      <c r="J109" s="10"/>
      <c r="K109" s="10"/>
      <c r="L109" s="10"/>
      <c r="M109" s="10"/>
      <c r="N109" s="11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2"/>
      <c r="BP109" s="14"/>
    </row>
    <row customHeight="true" ht="17" r="110">
      <c r="A110" s="13"/>
      <c r="B110" s="12"/>
      <c r="C110" s="13"/>
      <c r="D110" s="13"/>
      <c r="E110" s="15"/>
      <c r="F110" s="15"/>
      <c r="G110" s="10"/>
      <c r="H110" s="10"/>
      <c r="I110" s="10"/>
      <c r="J110" s="10"/>
      <c r="K110" s="10"/>
      <c r="L110" s="10"/>
      <c r="M110" s="10"/>
      <c r="N110" s="11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2"/>
      <c r="BP110" s="14"/>
    </row>
    <row customHeight="true" ht="17" r="111">
      <c r="A111" s="13"/>
      <c r="B111" s="12"/>
      <c r="C111" s="13"/>
      <c r="D111" s="13"/>
      <c r="E111" s="15"/>
      <c r="F111" s="15"/>
      <c r="G111" s="10"/>
      <c r="H111" s="10"/>
      <c r="I111" s="10"/>
      <c r="J111" s="10"/>
      <c r="K111" s="10"/>
      <c r="L111" s="10"/>
      <c r="M111" s="10"/>
      <c r="N111" s="11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2"/>
      <c r="BP111" s="14"/>
    </row>
    <row customHeight="true" ht="17" r="112">
      <c r="A112" s="13"/>
      <c r="B112" s="12"/>
      <c r="C112" s="13"/>
      <c r="D112" s="13"/>
      <c r="E112" s="15"/>
      <c r="F112" s="15"/>
      <c r="G112" s="10"/>
      <c r="H112" s="10"/>
      <c r="I112" s="10"/>
      <c r="J112" s="10"/>
      <c r="K112" s="10"/>
      <c r="L112" s="10"/>
      <c r="M112" s="10"/>
      <c r="N112" s="11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2"/>
      <c r="BP112" s="14"/>
    </row>
    <row customHeight="true" ht="17" r="113">
      <c r="A113" s="13"/>
      <c r="B113" s="12"/>
      <c r="C113" s="13"/>
      <c r="D113" s="13"/>
      <c r="E113" s="15"/>
      <c r="F113" s="15"/>
      <c r="G113" s="10"/>
      <c r="H113" s="10"/>
      <c r="I113" s="10"/>
      <c r="J113" s="10"/>
      <c r="K113" s="10"/>
      <c r="L113" s="10"/>
      <c r="M113" s="10"/>
      <c r="N113" s="11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2"/>
      <c r="BP113" s="14"/>
    </row>
    <row customHeight="true" ht="17" r="114">
      <c r="A114" s="13"/>
      <c r="B114" s="12"/>
      <c r="C114" s="13"/>
      <c r="D114" s="13"/>
      <c r="E114" s="15"/>
      <c r="F114" s="15"/>
      <c r="G114" s="10"/>
      <c r="H114" s="10"/>
      <c r="I114" s="10"/>
      <c r="J114" s="10"/>
      <c r="K114" s="10"/>
      <c r="L114" s="10"/>
      <c r="M114" s="10"/>
      <c r="N114" s="11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2"/>
      <c r="BP114" s="14"/>
    </row>
    <row customHeight="true" ht="17" r="115">
      <c r="A115" s="13"/>
      <c r="B115" s="12"/>
      <c r="C115" s="13"/>
      <c r="D115" s="13"/>
      <c r="E115" s="15"/>
      <c r="F115" s="15"/>
      <c r="G115" s="10"/>
      <c r="H115" s="10"/>
      <c r="I115" s="10"/>
      <c r="J115" s="10"/>
      <c r="K115" s="10"/>
      <c r="L115" s="10"/>
      <c r="M115" s="10"/>
      <c r="N115" s="11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2"/>
      <c r="BP115" s="14"/>
    </row>
    <row customHeight="true" ht="17" r="116">
      <c r="A116" s="13"/>
      <c r="B116" s="12"/>
      <c r="C116" s="13"/>
      <c r="D116" s="13"/>
      <c r="E116" s="15"/>
      <c r="F116" s="15"/>
      <c r="G116" s="10"/>
      <c r="H116" s="10"/>
      <c r="I116" s="10"/>
      <c r="J116" s="10"/>
      <c r="K116" s="10"/>
      <c r="L116" s="10"/>
      <c r="M116" s="10"/>
      <c r="N116" s="11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2"/>
      <c r="BP116" s="14"/>
    </row>
    <row customHeight="true" ht="17" r="117">
      <c r="A117" s="13"/>
      <c r="B117" s="12"/>
      <c r="C117" s="13"/>
      <c r="D117" s="13"/>
      <c r="E117" s="15"/>
      <c r="F117" s="15"/>
      <c r="G117" s="10"/>
      <c r="H117" s="10"/>
      <c r="I117" s="10"/>
      <c r="J117" s="10"/>
      <c r="K117" s="10"/>
      <c r="L117" s="10"/>
      <c r="M117" s="10"/>
      <c r="N117" s="11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2"/>
      <c r="BP117" s="14"/>
    </row>
    <row customHeight="true" ht="17" r="118">
      <c r="A118" s="13"/>
      <c r="B118" s="12"/>
      <c r="C118" s="13"/>
      <c r="D118" s="13"/>
      <c r="E118" s="15"/>
      <c r="F118" s="15"/>
      <c r="G118" s="10"/>
      <c r="H118" s="10"/>
      <c r="I118" s="10"/>
      <c r="J118" s="10"/>
      <c r="K118" s="10"/>
      <c r="L118" s="10"/>
      <c r="M118" s="10"/>
      <c r="N118" s="11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2"/>
      <c r="BP118" s="14"/>
    </row>
    <row customHeight="true" ht="17" r="119">
      <c r="A119" s="13"/>
      <c r="B119" s="12"/>
      <c r="C119" s="13"/>
      <c r="D119" s="13"/>
      <c r="E119" s="15"/>
      <c r="F119" s="15"/>
      <c r="G119" s="10"/>
      <c r="H119" s="10"/>
      <c r="I119" s="10"/>
      <c r="J119" s="10"/>
      <c r="K119" s="10"/>
      <c r="L119" s="10"/>
      <c r="M119" s="10"/>
      <c r="N119" s="11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2"/>
      <c r="BP119" s="14"/>
    </row>
    <row customHeight="true" ht="17" r="120">
      <c r="A120" s="13"/>
      <c r="B120" s="12"/>
      <c r="C120" s="13"/>
      <c r="D120" s="13"/>
      <c r="E120" s="15"/>
      <c r="F120" s="15"/>
      <c r="G120" s="10"/>
      <c r="H120" s="10"/>
      <c r="I120" s="10"/>
      <c r="J120" s="10"/>
      <c r="K120" s="10"/>
      <c r="L120" s="10"/>
      <c r="M120" s="10"/>
      <c r="N120" s="11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2"/>
      <c r="BP120" s="14"/>
    </row>
    <row customHeight="true" ht="17" r="121">
      <c r="A121" s="13"/>
      <c r="B121" s="12"/>
      <c r="C121" s="13"/>
      <c r="D121" s="13"/>
      <c r="E121" s="15"/>
      <c r="F121" s="15"/>
      <c r="G121" s="10"/>
      <c r="H121" s="10"/>
      <c r="I121" s="10"/>
      <c r="J121" s="10"/>
      <c r="K121" s="10"/>
      <c r="L121" s="10"/>
      <c r="M121" s="10"/>
      <c r="N121" s="11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2"/>
      <c r="BP121" s="14"/>
    </row>
    <row customHeight="true" ht="17" r="122">
      <c r="A122" s="13"/>
      <c r="B122" s="12"/>
      <c r="C122" s="13"/>
      <c r="D122" s="13"/>
      <c r="E122" s="15"/>
      <c r="F122" s="15"/>
      <c r="G122" s="10"/>
      <c r="H122" s="10"/>
      <c r="I122" s="10"/>
      <c r="J122" s="10"/>
      <c r="K122" s="10"/>
      <c r="L122" s="10"/>
      <c r="M122" s="10"/>
      <c r="N122" s="11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2"/>
      <c r="BP122" s="14"/>
    </row>
    <row customHeight="true" ht="17" r="123">
      <c r="A123" s="13"/>
      <c r="B123" s="12"/>
      <c r="C123" s="13"/>
      <c r="D123" s="13"/>
      <c r="E123" s="15"/>
      <c r="F123" s="15"/>
      <c r="G123" s="10"/>
      <c r="H123" s="10"/>
      <c r="I123" s="10"/>
      <c r="J123" s="10"/>
      <c r="K123" s="10"/>
      <c r="L123" s="10"/>
      <c r="M123" s="10"/>
      <c r="N123" s="11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2"/>
      <c r="BP123" s="14"/>
    </row>
    <row customHeight="true" ht="17" r="124">
      <c r="A124" s="13"/>
      <c r="B124" s="12"/>
      <c r="C124" s="13"/>
      <c r="D124" s="13"/>
      <c r="E124" s="15"/>
      <c r="F124" s="15"/>
      <c r="G124" s="10"/>
      <c r="H124" s="10"/>
      <c r="I124" s="10"/>
      <c r="J124" s="10"/>
      <c r="K124" s="10"/>
      <c r="L124" s="10"/>
      <c r="M124" s="10"/>
      <c r="N124" s="11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2"/>
      <c r="BP124" s="14"/>
    </row>
    <row customHeight="true" ht="17" r="125">
      <c r="A125" s="13"/>
      <c r="B125" s="12"/>
      <c r="C125" s="13"/>
      <c r="D125" s="13"/>
      <c r="E125" s="15"/>
      <c r="F125" s="15"/>
      <c r="G125" s="10"/>
      <c r="H125" s="10"/>
      <c r="I125" s="10"/>
      <c r="J125" s="10"/>
      <c r="K125" s="10"/>
      <c r="L125" s="10"/>
      <c r="M125" s="10"/>
      <c r="N125" s="11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2"/>
      <c r="BP125" s="14"/>
    </row>
    <row customHeight="true" ht="17" r="126">
      <c r="A126" s="13"/>
      <c r="B126" s="12"/>
      <c r="C126" s="13"/>
      <c r="D126" s="13"/>
      <c r="E126" s="15"/>
      <c r="F126" s="15"/>
      <c r="G126" s="10"/>
      <c r="H126" s="10"/>
      <c r="I126" s="10"/>
      <c r="J126" s="10"/>
      <c r="K126" s="10"/>
      <c r="L126" s="10"/>
      <c r="M126" s="10"/>
      <c r="N126" s="11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2"/>
      <c r="BP126" s="14"/>
    </row>
    <row customHeight="true" ht="17" r="127">
      <c r="A127" s="13"/>
      <c r="B127" s="12"/>
      <c r="C127" s="13"/>
      <c r="D127" s="13"/>
      <c r="E127" s="15"/>
      <c r="F127" s="15"/>
      <c r="G127" s="10"/>
      <c r="H127" s="10"/>
      <c r="I127" s="10"/>
      <c r="J127" s="10"/>
      <c r="K127" s="10"/>
      <c r="L127" s="10"/>
      <c r="M127" s="10"/>
      <c r="N127" s="11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2"/>
      <c r="BP127" s="14"/>
    </row>
    <row customHeight="true" ht="17" r="128">
      <c r="A128" s="13"/>
      <c r="B128" s="12"/>
      <c r="C128" s="13"/>
      <c r="D128" s="13"/>
      <c r="E128" s="15"/>
      <c r="F128" s="15"/>
      <c r="G128" s="10"/>
      <c r="H128" s="10"/>
      <c r="I128" s="10"/>
      <c r="J128" s="10"/>
      <c r="K128" s="10"/>
      <c r="L128" s="10"/>
      <c r="M128" s="10"/>
      <c r="N128" s="11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2"/>
      <c r="BP128" s="14"/>
    </row>
    <row customHeight="true" ht="17" r="129">
      <c r="A129" s="13"/>
      <c r="B129" s="12"/>
      <c r="C129" s="13"/>
      <c r="D129" s="13"/>
      <c r="E129" s="15"/>
      <c r="F129" s="15"/>
      <c r="G129" s="10"/>
      <c r="H129" s="10"/>
      <c r="I129" s="10"/>
      <c r="J129" s="10"/>
      <c r="K129" s="10"/>
      <c r="L129" s="10"/>
      <c r="M129" s="10"/>
      <c r="N129" s="11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2"/>
      <c r="BP129" s="14"/>
    </row>
    <row customHeight="true" ht="17" r="130">
      <c r="A130" s="13"/>
      <c r="B130" s="12"/>
      <c r="C130" s="13"/>
      <c r="D130" s="13"/>
      <c r="E130" s="15"/>
      <c r="F130" s="15"/>
      <c r="G130" s="10"/>
      <c r="H130" s="10"/>
      <c r="I130" s="10"/>
      <c r="J130" s="10"/>
      <c r="K130" s="10"/>
      <c r="L130" s="10"/>
      <c r="M130" s="10"/>
      <c r="N130" s="11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2"/>
      <c r="BP130" s="14"/>
    </row>
    <row customHeight="true" ht="17" r="131">
      <c r="A131" s="13"/>
      <c r="B131" s="12"/>
      <c r="C131" s="13"/>
      <c r="D131" s="13"/>
      <c r="E131" s="15"/>
      <c r="F131" s="15"/>
      <c r="G131" s="10"/>
      <c r="H131" s="10"/>
      <c r="I131" s="10"/>
      <c r="J131" s="10"/>
      <c r="K131" s="10"/>
      <c r="L131" s="10"/>
      <c r="M131" s="10"/>
      <c r="N131" s="11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2"/>
      <c r="BP131" s="14"/>
    </row>
    <row customHeight="true" ht="17" r="132">
      <c r="A132" s="13"/>
      <c r="B132" s="12"/>
      <c r="C132" s="13"/>
      <c r="D132" s="13"/>
      <c r="E132" s="15"/>
      <c r="F132" s="15"/>
      <c r="G132" s="10"/>
      <c r="H132" s="10"/>
      <c r="I132" s="10"/>
      <c r="J132" s="10"/>
      <c r="K132" s="10"/>
      <c r="L132" s="10"/>
      <c r="M132" s="10"/>
      <c r="N132" s="11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2"/>
      <c r="BP132" s="14"/>
    </row>
    <row customHeight="true" ht="17" r="133">
      <c r="A133" s="13"/>
      <c r="B133" s="12"/>
      <c r="C133" s="13"/>
      <c r="D133" s="13"/>
      <c r="E133" s="15"/>
      <c r="F133" s="15"/>
      <c r="G133" s="10"/>
      <c r="H133" s="10"/>
      <c r="I133" s="10"/>
      <c r="J133" s="10"/>
      <c r="K133" s="10"/>
      <c r="L133" s="10"/>
      <c r="M133" s="10"/>
      <c r="N133" s="11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2"/>
      <c r="BP133" s="14"/>
    </row>
    <row customHeight="true" ht="17" r="134">
      <c r="A134" s="13"/>
      <c r="B134" s="12"/>
      <c r="C134" s="13"/>
      <c r="D134" s="13"/>
      <c r="E134" s="15"/>
      <c r="F134" s="15"/>
      <c r="G134" s="10"/>
      <c r="H134" s="10"/>
      <c r="I134" s="10"/>
      <c r="J134" s="10"/>
      <c r="K134" s="10"/>
      <c r="L134" s="10"/>
      <c r="M134" s="10"/>
      <c r="N134" s="11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2"/>
      <c r="BP134" s="14"/>
    </row>
    <row customHeight="true" ht="17" r="135">
      <c r="A135" s="13"/>
      <c r="B135" s="12"/>
      <c r="C135" s="13"/>
      <c r="D135" s="13"/>
      <c r="E135" s="15"/>
      <c r="F135" s="15"/>
      <c r="G135" s="10"/>
      <c r="H135" s="10"/>
      <c r="I135" s="10"/>
      <c r="J135" s="10"/>
      <c r="K135" s="10"/>
      <c r="L135" s="10"/>
      <c r="M135" s="10"/>
      <c r="N135" s="11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2"/>
      <c r="BP135" s="14"/>
    </row>
    <row customHeight="true" ht="17" r="136">
      <c r="A136" s="13"/>
      <c r="B136" s="12"/>
      <c r="C136" s="13"/>
      <c r="D136" s="13"/>
      <c r="E136" s="15"/>
      <c r="F136" s="15"/>
      <c r="G136" s="10"/>
      <c r="H136" s="10"/>
      <c r="I136" s="10"/>
      <c r="J136" s="10"/>
      <c r="K136" s="10"/>
      <c r="L136" s="10"/>
      <c r="M136" s="10"/>
      <c r="N136" s="11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2"/>
      <c r="BP136" s="14"/>
    </row>
    <row customHeight="true" ht="17" r="137">
      <c r="A137" s="13"/>
      <c r="B137" s="12"/>
      <c r="C137" s="13"/>
      <c r="D137" s="13"/>
      <c r="E137" s="15"/>
      <c r="F137" s="15"/>
      <c r="G137" s="10"/>
      <c r="H137" s="10"/>
      <c r="I137" s="10"/>
      <c r="J137" s="10"/>
      <c r="K137" s="10"/>
      <c r="L137" s="10"/>
      <c r="M137" s="10"/>
      <c r="N137" s="11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2"/>
      <c r="BP137" s="14"/>
    </row>
    <row customHeight="true" ht="17" r="138">
      <c r="A138" s="13"/>
      <c r="B138" s="12"/>
      <c r="C138" s="13"/>
      <c r="D138" s="13"/>
      <c r="E138" s="15"/>
      <c r="F138" s="15"/>
      <c r="G138" s="10"/>
      <c r="H138" s="10"/>
      <c r="I138" s="10"/>
      <c r="J138" s="10"/>
      <c r="K138" s="10"/>
      <c r="L138" s="10"/>
      <c r="M138" s="10"/>
      <c r="N138" s="11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2"/>
      <c r="BP138" s="14"/>
    </row>
    <row customHeight="true" ht="17" r="139">
      <c r="A139" s="13"/>
      <c r="B139" s="12"/>
      <c r="C139" s="13"/>
      <c r="D139" s="13"/>
      <c r="E139" s="15"/>
      <c r="F139" s="15"/>
      <c r="G139" s="10"/>
      <c r="H139" s="10"/>
      <c r="I139" s="10"/>
      <c r="J139" s="10"/>
      <c r="K139" s="10"/>
      <c r="L139" s="10"/>
      <c r="M139" s="10"/>
      <c r="N139" s="11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2"/>
      <c r="BP139" s="14"/>
    </row>
    <row customHeight="true" ht="17" r="140">
      <c r="A140" s="13"/>
      <c r="B140" s="12"/>
      <c r="C140" s="13"/>
      <c r="D140" s="13"/>
      <c r="E140" s="15"/>
      <c r="F140" s="15"/>
      <c r="G140" s="10"/>
      <c r="H140" s="10"/>
      <c r="I140" s="10"/>
      <c r="J140" s="10"/>
      <c r="K140" s="10"/>
      <c r="L140" s="10"/>
      <c r="M140" s="10"/>
      <c r="N140" s="11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2"/>
      <c r="BP140" s="14"/>
    </row>
    <row customHeight="true" ht="17" r="141">
      <c r="A141" s="13"/>
      <c r="B141" s="12"/>
      <c r="C141" s="13"/>
      <c r="D141" s="13"/>
      <c r="E141" s="15"/>
      <c r="F141" s="15"/>
      <c r="G141" s="10"/>
      <c r="H141" s="10"/>
      <c r="I141" s="10"/>
      <c r="J141" s="10"/>
      <c r="K141" s="10"/>
      <c r="L141" s="10"/>
      <c r="M141" s="10"/>
      <c r="N141" s="11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2"/>
      <c r="BP141" s="14"/>
    </row>
    <row customHeight="true" ht="17" r="142">
      <c r="A142" s="13"/>
      <c r="B142" s="12"/>
      <c r="C142" s="13"/>
      <c r="D142" s="13"/>
      <c r="E142" s="15"/>
      <c r="F142" s="15"/>
      <c r="G142" s="10"/>
      <c r="H142" s="10"/>
      <c r="I142" s="10"/>
      <c r="J142" s="10"/>
      <c r="K142" s="10"/>
      <c r="L142" s="10"/>
      <c r="M142" s="10"/>
      <c r="N142" s="11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2"/>
      <c r="BP142" s="14"/>
    </row>
    <row customHeight="true" ht="17" r="143">
      <c r="A143" s="13"/>
      <c r="B143" s="12"/>
      <c r="C143" s="13"/>
      <c r="D143" s="13"/>
      <c r="E143" s="15"/>
      <c r="F143" s="15"/>
      <c r="G143" s="10"/>
      <c r="H143" s="10"/>
      <c r="I143" s="10"/>
      <c r="J143" s="10"/>
      <c r="K143" s="10"/>
      <c r="L143" s="10"/>
      <c r="M143" s="10"/>
      <c r="N143" s="11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2"/>
      <c r="BP143" s="14"/>
    </row>
    <row customHeight="true" ht="17" r="144">
      <c r="A144" s="13"/>
      <c r="B144" s="12"/>
      <c r="C144" s="13"/>
      <c r="D144" s="13"/>
      <c r="E144" s="15"/>
      <c r="F144" s="15"/>
      <c r="G144" s="10"/>
      <c r="H144" s="10"/>
      <c r="I144" s="10"/>
      <c r="J144" s="10"/>
      <c r="K144" s="10"/>
      <c r="L144" s="10"/>
      <c r="M144" s="10"/>
      <c r="N144" s="11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2"/>
      <c r="BP144" s="14"/>
    </row>
    <row customHeight="true" ht="17" r="145">
      <c r="A145" s="13"/>
      <c r="B145" s="12"/>
      <c r="C145" s="13"/>
      <c r="D145" s="13"/>
      <c r="E145" s="15"/>
      <c r="F145" s="15"/>
      <c r="G145" s="10"/>
      <c r="H145" s="10"/>
      <c r="I145" s="10"/>
      <c r="J145" s="10"/>
      <c r="K145" s="10"/>
      <c r="L145" s="10"/>
      <c r="M145" s="10"/>
      <c r="N145" s="11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2"/>
      <c r="BP145" s="14"/>
    </row>
    <row customHeight="true" ht="17" r="146">
      <c r="A146" s="13"/>
      <c r="B146" s="12"/>
      <c r="C146" s="13"/>
      <c r="D146" s="13"/>
      <c r="E146" s="15"/>
      <c r="F146" s="15"/>
      <c r="G146" s="10"/>
      <c r="H146" s="10"/>
      <c r="I146" s="10"/>
      <c r="J146" s="10"/>
      <c r="K146" s="10"/>
      <c r="L146" s="10"/>
      <c r="M146" s="10"/>
      <c r="N146" s="11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2"/>
      <c r="BP146" s="14"/>
    </row>
    <row customHeight="true" ht="17" r="147">
      <c r="A147" s="13"/>
      <c r="B147" s="12"/>
      <c r="C147" s="13"/>
      <c r="D147" s="13"/>
      <c r="E147" s="15"/>
      <c r="F147" s="15"/>
      <c r="G147" s="10"/>
      <c r="H147" s="10"/>
      <c r="I147" s="10"/>
      <c r="J147" s="10"/>
      <c r="K147" s="10"/>
      <c r="L147" s="10"/>
      <c r="M147" s="10"/>
      <c r="N147" s="11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2"/>
      <c r="BP147" s="14"/>
    </row>
    <row customHeight="true" ht="17" r="148">
      <c r="A148" s="13"/>
      <c r="B148" s="12"/>
      <c r="C148" s="13"/>
      <c r="D148" s="13"/>
      <c r="E148" s="15"/>
      <c r="F148" s="15"/>
      <c r="G148" s="10"/>
      <c r="H148" s="10"/>
      <c r="I148" s="10"/>
      <c r="J148" s="10"/>
      <c r="K148" s="10"/>
      <c r="L148" s="10"/>
      <c r="M148" s="10"/>
      <c r="N148" s="11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2"/>
      <c r="BP148" s="14"/>
    </row>
    <row customHeight="true" ht="17" r="149">
      <c r="A149" s="13"/>
      <c r="B149" s="12"/>
      <c r="C149" s="13"/>
      <c r="D149" s="13"/>
      <c r="E149" s="15"/>
      <c r="F149" s="15"/>
      <c r="G149" s="10"/>
      <c r="H149" s="10"/>
      <c r="I149" s="10"/>
      <c r="J149" s="10"/>
      <c r="K149" s="10"/>
      <c r="L149" s="10"/>
      <c r="M149" s="10"/>
      <c r="N149" s="11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2"/>
      <c r="BP149" s="14"/>
    </row>
    <row customHeight="true" ht="17" r="150">
      <c r="A150" s="13"/>
      <c r="B150" s="12"/>
      <c r="C150" s="13"/>
      <c r="D150" s="13"/>
      <c r="E150" s="15"/>
      <c r="F150" s="15"/>
      <c r="G150" s="10"/>
      <c r="H150" s="10"/>
      <c r="I150" s="10"/>
      <c r="J150" s="10"/>
      <c r="K150" s="10"/>
      <c r="L150" s="10"/>
      <c r="M150" s="10"/>
      <c r="N150" s="11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2"/>
      <c r="BP150" s="14"/>
    </row>
    <row customHeight="true" ht="17" r="151">
      <c r="A151" s="13"/>
      <c r="B151" s="12"/>
      <c r="C151" s="13"/>
      <c r="D151" s="13"/>
      <c r="E151" s="15"/>
      <c r="F151" s="15"/>
      <c r="G151" s="10"/>
      <c r="H151" s="10"/>
      <c r="I151" s="10"/>
      <c r="J151" s="10"/>
      <c r="K151" s="10"/>
      <c r="L151" s="10"/>
      <c r="M151" s="10"/>
      <c r="N151" s="11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2"/>
      <c r="BP151" s="14"/>
    </row>
    <row customHeight="true" ht="17" r="152">
      <c r="A152" s="13"/>
      <c r="B152" s="12"/>
      <c r="C152" s="13"/>
      <c r="D152" s="13"/>
      <c r="E152" s="15"/>
      <c r="F152" s="15"/>
      <c r="G152" s="10"/>
      <c r="H152" s="10"/>
      <c r="I152" s="10"/>
      <c r="J152" s="10"/>
      <c r="K152" s="10"/>
      <c r="L152" s="10"/>
      <c r="M152" s="10"/>
      <c r="N152" s="11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2"/>
      <c r="BP152" s="14"/>
    </row>
    <row customHeight="true" ht="17" r="153">
      <c r="A153" s="13"/>
      <c r="B153" s="12"/>
      <c r="C153" s="13"/>
      <c r="D153" s="13"/>
      <c r="E153" s="15"/>
      <c r="F153" s="15"/>
      <c r="G153" s="10"/>
      <c r="H153" s="10"/>
      <c r="I153" s="10"/>
      <c r="J153" s="10"/>
      <c r="K153" s="10"/>
      <c r="L153" s="10"/>
      <c r="M153" s="10"/>
      <c r="N153" s="11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2"/>
      <c r="BP153" s="14"/>
    </row>
    <row customHeight="true" ht="17" r="154">
      <c r="A154" s="13"/>
      <c r="B154" s="12"/>
      <c r="C154" s="13"/>
      <c r="D154" s="13"/>
      <c r="E154" s="15"/>
      <c r="F154" s="15"/>
      <c r="G154" s="10"/>
      <c r="H154" s="10"/>
      <c r="I154" s="10"/>
      <c r="J154" s="10"/>
      <c r="K154" s="10"/>
      <c r="L154" s="10"/>
      <c r="M154" s="10"/>
      <c r="N154" s="11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2"/>
      <c r="BP154" s="14"/>
    </row>
    <row customHeight="true" ht="17" r="155">
      <c r="A155" s="13"/>
      <c r="B155" s="12"/>
      <c r="C155" s="13"/>
      <c r="D155" s="13"/>
      <c r="E155" s="15"/>
      <c r="F155" s="15"/>
      <c r="G155" s="10"/>
      <c r="H155" s="10"/>
      <c r="I155" s="10"/>
      <c r="J155" s="10"/>
      <c r="K155" s="10"/>
      <c r="L155" s="10"/>
      <c r="M155" s="10"/>
      <c r="N155" s="11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2"/>
      <c r="BP155" s="14"/>
    </row>
    <row customHeight="true" ht="17" r="156">
      <c r="A156" s="13"/>
      <c r="B156" s="12"/>
      <c r="C156" s="13"/>
      <c r="D156" s="13"/>
      <c r="E156" s="15"/>
      <c r="F156" s="15"/>
      <c r="G156" s="10"/>
      <c r="H156" s="10"/>
      <c r="I156" s="10"/>
      <c r="J156" s="10"/>
      <c r="K156" s="10"/>
      <c r="L156" s="10"/>
      <c r="M156" s="10"/>
      <c r="N156" s="11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2"/>
      <c r="BP156" s="14"/>
    </row>
    <row customHeight="true" ht="17" r="157">
      <c r="A157" s="13"/>
      <c r="B157" s="12"/>
      <c r="C157" s="13"/>
      <c r="D157" s="13"/>
      <c r="E157" s="15"/>
      <c r="F157" s="15"/>
      <c r="G157" s="10"/>
      <c r="H157" s="10"/>
      <c r="I157" s="10"/>
      <c r="J157" s="10"/>
      <c r="K157" s="10"/>
      <c r="L157" s="10"/>
      <c r="M157" s="10"/>
      <c r="N157" s="11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2"/>
      <c r="BP157" s="14"/>
    </row>
    <row customHeight="true" ht="17" r="158">
      <c r="A158" s="13"/>
      <c r="B158" s="12"/>
      <c r="C158" s="13"/>
      <c r="D158" s="13"/>
      <c r="E158" s="15"/>
      <c r="F158" s="15"/>
      <c r="G158" s="10"/>
      <c r="H158" s="10"/>
      <c r="I158" s="10"/>
      <c r="J158" s="10"/>
      <c r="K158" s="10"/>
      <c r="L158" s="10"/>
      <c r="M158" s="10"/>
      <c r="N158" s="11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2"/>
      <c r="BP158" s="14"/>
    </row>
    <row customHeight="true" ht="17" r="159">
      <c r="A159" s="13"/>
      <c r="B159" s="12"/>
      <c r="C159" s="13"/>
      <c r="D159" s="13"/>
      <c r="E159" s="15"/>
      <c r="F159" s="15"/>
      <c r="G159" s="10"/>
      <c r="H159" s="10"/>
      <c r="I159" s="10"/>
      <c r="J159" s="10"/>
      <c r="K159" s="10"/>
      <c r="L159" s="10"/>
      <c r="M159" s="10"/>
      <c r="N159" s="11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2"/>
      <c r="BP159" s="14"/>
    </row>
    <row customHeight="true" ht="17" r="160">
      <c r="A160" s="13"/>
      <c r="B160" s="12"/>
      <c r="C160" s="13"/>
      <c r="D160" s="13"/>
      <c r="E160" s="15"/>
      <c r="F160" s="15"/>
      <c r="G160" s="10"/>
      <c r="H160" s="10"/>
      <c r="I160" s="10"/>
      <c r="J160" s="10"/>
      <c r="K160" s="10"/>
      <c r="L160" s="10"/>
      <c r="M160" s="10"/>
      <c r="N160" s="11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2"/>
      <c r="BP160" s="14"/>
    </row>
    <row customHeight="true" ht="17" r="161">
      <c r="A161" s="13"/>
      <c r="B161" s="12"/>
      <c r="C161" s="13"/>
      <c r="D161" s="13"/>
      <c r="E161" s="15"/>
      <c r="F161" s="15"/>
      <c r="G161" s="10"/>
      <c r="H161" s="10"/>
      <c r="I161" s="10"/>
      <c r="J161" s="10"/>
      <c r="K161" s="10"/>
      <c r="L161" s="10"/>
      <c r="M161" s="10"/>
      <c r="N161" s="11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2"/>
      <c r="BP161" s="14"/>
    </row>
    <row customHeight="true" ht="17" r="162">
      <c r="A162" s="13"/>
      <c r="B162" s="12"/>
      <c r="C162" s="13"/>
      <c r="D162" s="13"/>
      <c r="E162" s="15"/>
      <c r="F162" s="15"/>
      <c r="G162" s="10"/>
      <c r="H162" s="10"/>
      <c r="I162" s="10"/>
      <c r="J162" s="10"/>
      <c r="K162" s="10"/>
      <c r="L162" s="10"/>
      <c r="M162" s="10"/>
      <c r="N162" s="11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2"/>
      <c r="BP162" s="14"/>
    </row>
    <row customHeight="true" ht="17" r="163">
      <c r="A163" s="13"/>
      <c r="B163" s="12"/>
      <c r="C163" s="13"/>
      <c r="D163" s="13"/>
      <c r="E163" s="15"/>
      <c r="F163" s="15"/>
      <c r="G163" s="10"/>
      <c r="H163" s="10"/>
      <c r="I163" s="10"/>
      <c r="J163" s="10"/>
      <c r="K163" s="10"/>
      <c r="L163" s="10"/>
      <c r="M163" s="10"/>
      <c r="N163" s="11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2"/>
      <c r="BP163" s="14"/>
    </row>
    <row customHeight="true" ht="17" r="164">
      <c r="A164" s="13"/>
      <c r="B164" s="12"/>
      <c r="C164" s="13"/>
      <c r="D164" s="13"/>
      <c r="E164" s="15"/>
      <c r="F164" s="15"/>
      <c r="G164" s="10"/>
      <c r="H164" s="10"/>
      <c r="I164" s="10"/>
      <c r="J164" s="10"/>
      <c r="K164" s="10"/>
      <c r="L164" s="10"/>
      <c r="M164" s="10"/>
      <c r="N164" s="11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2"/>
      <c r="BP164" s="14"/>
    </row>
    <row customHeight="true" ht="17" r="165">
      <c r="A165" s="13"/>
      <c r="B165" s="12"/>
      <c r="C165" s="13"/>
      <c r="D165" s="13"/>
      <c r="E165" s="15"/>
      <c r="F165" s="15"/>
      <c r="G165" s="10"/>
      <c r="H165" s="10"/>
      <c r="I165" s="10"/>
      <c r="J165" s="10"/>
      <c r="K165" s="10"/>
      <c r="L165" s="10"/>
      <c r="M165" s="10"/>
      <c r="N165" s="11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2"/>
      <c r="BP165" s="14"/>
    </row>
    <row customHeight="true" ht="17" r="166">
      <c r="A166" s="13"/>
      <c r="B166" s="12"/>
      <c r="C166" s="13"/>
      <c r="D166" s="13"/>
      <c r="E166" s="15"/>
      <c r="F166" s="15"/>
      <c r="G166" s="10"/>
      <c r="H166" s="10"/>
      <c r="I166" s="10"/>
      <c r="J166" s="10"/>
      <c r="K166" s="10"/>
      <c r="L166" s="10"/>
      <c r="M166" s="10"/>
      <c r="N166" s="11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2"/>
      <c r="BP166" s="14"/>
    </row>
    <row customHeight="true" ht="17" r="167">
      <c r="A167" s="13"/>
      <c r="B167" s="12"/>
      <c r="C167" s="13"/>
      <c r="D167" s="13"/>
      <c r="E167" s="15"/>
      <c r="F167" s="15"/>
      <c r="G167" s="10"/>
      <c r="H167" s="10"/>
      <c r="I167" s="10"/>
      <c r="J167" s="10"/>
      <c r="K167" s="10"/>
      <c r="L167" s="10"/>
      <c r="M167" s="10"/>
      <c r="N167" s="11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2"/>
      <c r="BP167" s="14"/>
    </row>
    <row customHeight="true" ht="17" r="168">
      <c r="A168" s="13"/>
      <c r="B168" s="12"/>
      <c r="C168" s="13"/>
      <c r="D168" s="13"/>
      <c r="E168" s="15"/>
      <c r="F168" s="15"/>
      <c r="G168" s="10"/>
      <c r="H168" s="10"/>
      <c r="I168" s="10"/>
      <c r="J168" s="10"/>
      <c r="K168" s="10"/>
      <c r="L168" s="10"/>
      <c r="M168" s="10"/>
      <c r="N168" s="11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2"/>
      <c r="BP168" s="14"/>
    </row>
    <row customHeight="true" ht="17" r="169">
      <c r="A169" s="13"/>
      <c r="B169" s="12"/>
      <c r="C169" s="13"/>
      <c r="D169" s="13"/>
      <c r="E169" s="15"/>
      <c r="F169" s="15"/>
      <c r="G169" s="10"/>
      <c r="H169" s="10"/>
      <c r="I169" s="10"/>
      <c r="J169" s="10"/>
      <c r="K169" s="10"/>
      <c r="L169" s="10"/>
      <c r="M169" s="10"/>
      <c r="N169" s="11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2"/>
      <c r="BP169" s="14"/>
    </row>
    <row customHeight="true" ht="17" r="170">
      <c r="A170" s="13"/>
      <c r="B170" s="12"/>
      <c r="C170" s="13"/>
      <c r="D170" s="13"/>
      <c r="E170" s="15"/>
      <c r="F170" s="15"/>
      <c r="G170" s="10"/>
      <c r="H170" s="10"/>
      <c r="I170" s="10"/>
      <c r="J170" s="10"/>
      <c r="K170" s="10"/>
      <c r="L170" s="10"/>
      <c r="M170" s="10"/>
      <c r="N170" s="11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2"/>
      <c r="BP170" s="14"/>
    </row>
    <row customHeight="true" ht="17" r="171">
      <c r="A171" s="13"/>
      <c r="B171" s="12"/>
      <c r="C171" s="13"/>
      <c r="D171" s="13"/>
      <c r="E171" s="15"/>
      <c r="F171" s="15"/>
      <c r="G171" s="10"/>
      <c r="H171" s="10"/>
      <c r="I171" s="10"/>
      <c r="J171" s="10"/>
      <c r="K171" s="10"/>
      <c r="L171" s="10"/>
      <c r="M171" s="10"/>
      <c r="N171" s="11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2"/>
      <c r="BP171" s="14"/>
    </row>
    <row customHeight="true" ht="17" r="172">
      <c r="A172" s="13"/>
      <c r="B172" s="12"/>
      <c r="C172" s="13"/>
      <c r="D172" s="13"/>
      <c r="E172" s="15"/>
      <c r="F172" s="15"/>
      <c r="G172" s="10"/>
      <c r="H172" s="10"/>
      <c r="I172" s="10"/>
      <c r="J172" s="10"/>
      <c r="K172" s="10"/>
      <c r="L172" s="10"/>
      <c r="M172" s="10"/>
      <c r="N172" s="11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2"/>
      <c r="BP172" s="14"/>
    </row>
    <row customHeight="true" ht="17" r="173">
      <c r="A173" s="13"/>
      <c r="B173" s="12"/>
      <c r="C173" s="13"/>
      <c r="D173" s="13"/>
      <c r="E173" s="15"/>
      <c r="F173" s="15"/>
      <c r="G173" s="10"/>
      <c r="H173" s="10"/>
      <c r="I173" s="10"/>
      <c r="J173" s="10"/>
      <c r="K173" s="10"/>
      <c r="L173" s="10"/>
      <c r="M173" s="10"/>
      <c r="N173" s="11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2"/>
      <c r="BP173" s="14"/>
    </row>
    <row customHeight="true" ht="17" r="174">
      <c r="A174" s="13"/>
      <c r="B174" s="12"/>
      <c r="C174" s="13"/>
      <c r="D174" s="13"/>
      <c r="E174" s="15"/>
      <c r="F174" s="15"/>
      <c r="G174" s="10"/>
      <c r="H174" s="10"/>
      <c r="I174" s="10"/>
      <c r="J174" s="10"/>
      <c r="K174" s="10"/>
      <c r="L174" s="10"/>
      <c r="M174" s="10"/>
      <c r="N174" s="11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2"/>
      <c r="BP174" s="14"/>
    </row>
    <row customHeight="true" ht="17" r="175">
      <c r="A175" s="13"/>
      <c r="B175" s="12"/>
      <c r="C175" s="13"/>
      <c r="D175" s="13"/>
      <c r="E175" s="15"/>
      <c r="F175" s="15"/>
      <c r="G175" s="10"/>
      <c r="H175" s="10"/>
      <c r="I175" s="10"/>
      <c r="J175" s="10"/>
      <c r="K175" s="10"/>
      <c r="L175" s="10"/>
      <c r="M175" s="10"/>
      <c r="N175" s="11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2"/>
      <c r="BP175" s="14"/>
    </row>
    <row customHeight="true" ht="17" r="176">
      <c r="A176" s="13"/>
      <c r="B176" s="12"/>
      <c r="C176" s="13"/>
      <c r="D176" s="13"/>
      <c r="E176" s="15"/>
      <c r="F176" s="15"/>
      <c r="G176" s="10"/>
      <c r="H176" s="10"/>
      <c r="I176" s="10"/>
      <c r="J176" s="10"/>
      <c r="K176" s="10"/>
      <c r="L176" s="10"/>
      <c r="M176" s="10"/>
      <c r="N176" s="11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2"/>
      <c r="BP176" s="14"/>
    </row>
    <row customHeight="true" ht="17" r="177">
      <c r="A177" s="13"/>
      <c r="B177" s="12"/>
      <c r="C177" s="13"/>
      <c r="D177" s="13"/>
      <c r="E177" s="15"/>
      <c r="F177" s="15"/>
      <c r="G177" s="10"/>
      <c r="H177" s="10"/>
      <c r="I177" s="10"/>
      <c r="J177" s="10"/>
      <c r="K177" s="10"/>
      <c r="L177" s="10"/>
      <c r="M177" s="10"/>
      <c r="N177" s="11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2"/>
      <c r="BP177" s="14"/>
    </row>
    <row customHeight="true" ht="17" r="178">
      <c r="A178" s="13"/>
      <c r="B178" s="12"/>
      <c r="C178" s="13"/>
      <c r="D178" s="13"/>
      <c r="E178" s="15"/>
      <c r="F178" s="15"/>
      <c r="G178" s="10"/>
      <c r="H178" s="10"/>
      <c r="I178" s="10"/>
      <c r="J178" s="10"/>
      <c r="K178" s="10"/>
      <c r="L178" s="10"/>
      <c r="M178" s="10"/>
      <c r="N178" s="11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2"/>
      <c r="BP178" s="14"/>
    </row>
    <row customHeight="true" ht="17" r="179">
      <c r="A179" s="13"/>
      <c r="B179" s="12"/>
      <c r="C179" s="13"/>
      <c r="D179" s="13"/>
      <c r="E179" s="15"/>
      <c r="F179" s="15"/>
      <c r="G179" s="10"/>
      <c r="H179" s="10"/>
      <c r="I179" s="10"/>
      <c r="J179" s="10"/>
      <c r="K179" s="10"/>
      <c r="L179" s="10"/>
      <c r="M179" s="10"/>
      <c r="N179" s="11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2"/>
      <c r="BP179" s="14"/>
    </row>
    <row customHeight="true" ht="17" r="180">
      <c r="A180" s="13"/>
      <c r="B180" s="12"/>
      <c r="C180" s="13"/>
      <c r="D180" s="13"/>
      <c r="E180" s="15"/>
      <c r="F180" s="15"/>
      <c r="G180" s="10"/>
      <c r="H180" s="10"/>
      <c r="I180" s="10"/>
      <c r="J180" s="10"/>
      <c r="K180" s="10"/>
      <c r="L180" s="10"/>
      <c r="M180" s="10"/>
      <c r="N180" s="11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2"/>
      <c r="BP180" s="14"/>
    </row>
    <row customHeight="true" ht="17" r="181">
      <c r="A181" s="13"/>
      <c r="B181" s="12"/>
      <c r="C181" s="13"/>
      <c r="D181" s="13"/>
      <c r="E181" s="15"/>
      <c r="F181" s="15"/>
      <c r="G181" s="10"/>
      <c r="H181" s="10"/>
      <c r="I181" s="10"/>
      <c r="J181" s="10"/>
      <c r="K181" s="10"/>
      <c r="L181" s="10"/>
      <c r="M181" s="10"/>
      <c r="N181" s="11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2"/>
      <c r="BP181" s="14"/>
    </row>
    <row customHeight="true" ht="17" r="182">
      <c r="A182" s="13"/>
      <c r="B182" s="12"/>
      <c r="C182" s="13"/>
      <c r="D182" s="13"/>
      <c r="E182" s="15"/>
      <c r="F182" s="15"/>
      <c r="G182" s="10"/>
      <c r="H182" s="10"/>
      <c r="I182" s="10"/>
      <c r="J182" s="10"/>
      <c r="K182" s="10"/>
      <c r="L182" s="10"/>
      <c r="M182" s="10"/>
      <c r="N182" s="11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2"/>
      <c r="BP182" s="14"/>
    </row>
    <row customHeight="true" ht="17" r="183">
      <c r="A183" s="13"/>
      <c r="B183" s="12"/>
      <c r="C183" s="13"/>
      <c r="D183" s="13"/>
      <c r="E183" s="15"/>
      <c r="F183" s="15"/>
      <c r="G183" s="10"/>
      <c r="H183" s="10"/>
      <c r="I183" s="10"/>
      <c r="J183" s="10"/>
      <c r="K183" s="10"/>
      <c r="L183" s="10"/>
      <c r="M183" s="10"/>
      <c r="N183" s="11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2"/>
      <c r="BP183" s="14"/>
    </row>
    <row customHeight="true" ht="17" r="184">
      <c r="A184" s="13"/>
      <c r="B184" s="12"/>
      <c r="C184" s="13"/>
      <c r="D184" s="13"/>
      <c r="E184" s="15"/>
      <c r="F184" s="15"/>
      <c r="G184" s="10"/>
      <c r="H184" s="10"/>
      <c r="I184" s="10"/>
      <c r="J184" s="10"/>
      <c r="K184" s="10"/>
      <c r="L184" s="10"/>
      <c r="M184" s="10"/>
      <c r="N184" s="11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2"/>
      <c r="BP184" s="14"/>
    </row>
    <row customHeight="true" ht="17" r="185">
      <c r="A185" s="13"/>
      <c r="B185" s="12"/>
      <c r="C185" s="13"/>
      <c r="D185" s="13"/>
      <c r="E185" s="15"/>
      <c r="F185" s="15"/>
      <c r="G185" s="10"/>
      <c r="H185" s="10"/>
      <c r="I185" s="10"/>
      <c r="J185" s="10"/>
      <c r="K185" s="10"/>
      <c r="L185" s="10"/>
      <c r="M185" s="10"/>
      <c r="N185" s="11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2"/>
      <c r="BP185" s="14"/>
    </row>
    <row customHeight="true" ht="17" r="186">
      <c r="A186" s="13"/>
      <c r="B186" s="12"/>
      <c r="C186" s="13"/>
      <c r="D186" s="13"/>
      <c r="E186" s="15"/>
      <c r="F186" s="15"/>
      <c r="G186" s="10"/>
      <c r="H186" s="10"/>
      <c r="I186" s="10"/>
      <c r="J186" s="10"/>
      <c r="K186" s="10"/>
      <c r="L186" s="10"/>
      <c r="M186" s="10"/>
      <c r="N186" s="11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2"/>
      <c r="BP186" s="14"/>
    </row>
    <row customHeight="true" ht="17" r="187">
      <c r="A187" s="13"/>
      <c r="B187" s="12"/>
      <c r="C187" s="13"/>
      <c r="D187" s="13"/>
      <c r="E187" s="15"/>
      <c r="F187" s="15"/>
      <c r="G187" s="10"/>
      <c r="H187" s="10"/>
      <c r="I187" s="10"/>
      <c r="J187" s="10"/>
      <c r="K187" s="10"/>
      <c r="L187" s="10"/>
      <c r="M187" s="10"/>
      <c r="N187" s="11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2"/>
      <c r="BP187" s="14"/>
    </row>
    <row customHeight="true" ht="17" r="188">
      <c r="A188" s="13"/>
      <c r="B188" s="12"/>
      <c r="C188" s="13"/>
      <c r="D188" s="13"/>
      <c r="E188" s="15"/>
      <c r="F188" s="15"/>
      <c r="G188" s="10"/>
      <c r="H188" s="10"/>
      <c r="I188" s="10"/>
      <c r="J188" s="10"/>
      <c r="K188" s="10"/>
      <c r="L188" s="10"/>
      <c r="M188" s="10"/>
      <c r="N188" s="11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2"/>
      <c r="BP188" s="14"/>
    </row>
    <row customHeight="true" ht="17" r="189">
      <c r="A189" s="13"/>
      <c r="B189" s="12"/>
      <c r="C189" s="13"/>
      <c r="D189" s="13"/>
      <c r="E189" s="15"/>
      <c r="F189" s="15"/>
      <c r="G189" s="10"/>
      <c r="H189" s="10"/>
      <c r="I189" s="10"/>
      <c r="J189" s="10"/>
      <c r="K189" s="10"/>
      <c r="L189" s="10"/>
      <c r="M189" s="10"/>
      <c r="N189" s="11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2"/>
      <c r="BP189" s="14"/>
    </row>
    <row customHeight="true" ht="17" r="190">
      <c r="A190" s="13"/>
      <c r="B190" s="12"/>
      <c r="C190" s="13"/>
      <c r="D190" s="13"/>
      <c r="E190" s="15"/>
      <c r="F190" s="15"/>
      <c r="G190" s="10"/>
      <c r="H190" s="10"/>
      <c r="I190" s="10"/>
      <c r="J190" s="10"/>
      <c r="K190" s="10"/>
      <c r="L190" s="10"/>
      <c r="M190" s="10"/>
      <c r="N190" s="11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2"/>
      <c r="BP190" s="14"/>
    </row>
    <row customHeight="true" ht="17" r="191">
      <c r="A191" s="13"/>
      <c r="B191" s="12"/>
      <c r="C191" s="13"/>
      <c r="D191" s="13"/>
      <c r="E191" s="15"/>
      <c r="F191" s="15"/>
      <c r="G191" s="10"/>
      <c r="H191" s="10"/>
      <c r="I191" s="10"/>
      <c r="J191" s="10"/>
      <c r="K191" s="10"/>
      <c r="L191" s="10"/>
      <c r="M191" s="10"/>
      <c r="N191" s="11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2"/>
      <c r="BP191" s="14"/>
    </row>
    <row customHeight="true" ht="17" r="192">
      <c r="A192" s="13"/>
      <c r="B192" s="12"/>
      <c r="C192" s="13"/>
      <c r="D192" s="13"/>
      <c r="E192" s="15"/>
      <c r="F192" s="15"/>
      <c r="G192" s="10"/>
      <c r="H192" s="10"/>
      <c r="I192" s="10"/>
      <c r="J192" s="10"/>
      <c r="K192" s="10"/>
      <c r="L192" s="10"/>
      <c r="M192" s="10"/>
      <c r="N192" s="11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2"/>
      <c r="BP192" s="14"/>
    </row>
    <row customHeight="true" ht="17" r="193">
      <c r="A193" s="13"/>
      <c r="B193" s="12"/>
      <c r="C193" s="13"/>
      <c r="D193" s="13"/>
      <c r="E193" s="15"/>
      <c r="F193" s="15"/>
      <c r="G193" s="10"/>
      <c r="H193" s="10"/>
      <c r="I193" s="10"/>
      <c r="J193" s="10"/>
      <c r="K193" s="10"/>
      <c r="L193" s="10"/>
      <c r="M193" s="10"/>
      <c r="N193" s="11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2"/>
      <c r="BP193" s="14"/>
    </row>
    <row customHeight="true" ht="17" r="194">
      <c r="A194" s="13"/>
      <c r="B194" s="12"/>
      <c r="C194" s="13"/>
      <c r="D194" s="13"/>
      <c r="E194" s="15"/>
      <c r="F194" s="15"/>
      <c r="G194" s="10"/>
      <c r="H194" s="10"/>
      <c r="I194" s="10"/>
      <c r="J194" s="10"/>
      <c r="K194" s="10"/>
      <c r="L194" s="10"/>
      <c r="M194" s="10"/>
      <c r="N194" s="11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2"/>
      <c r="BP194" s="14"/>
    </row>
    <row customHeight="true" ht="17" r="195">
      <c r="A195" s="13"/>
      <c r="B195" s="12"/>
      <c r="C195" s="13"/>
      <c r="D195" s="13"/>
      <c r="E195" s="15"/>
      <c r="F195" s="15"/>
      <c r="G195" s="10"/>
      <c r="H195" s="10"/>
      <c r="I195" s="10"/>
      <c r="J195" s="10"/>
      <c r="K195" s="10"/>
      <c r="L195" s="10"/>
      <c r="M195" s="10"/>
      <c r="N195" s="11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2"/>
      <c r="BP195" s="14"/>
    </row>
    <row customHeight="true" ht="17" r="196">
      <c r="A196" s="13"/>
      <c r="B196" s="12"/>
      <c r="C196" s="13"/>
      <c r="D196" s="13"/>
      <c r="E196" s="15"/>
      <c r="F196" s="15"/>
      <c r="G196" s="10"/>
      <c r="H196" s="10"/>
      <c r="I196" s="10"/>
      <c r="J196" s="10"/>
      <c r="K196" s="10"/>
      <c r="L196" s="10"/>
      <c r="M196" s="10"/>
      <c r="N196" s="11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2"/>
      <c r="BP196" s="14"/>
    </row>
    <row customHeight="true" ht="17" r="197">
      <c r="A197" s="13"/>
      <c r="B197" s="12"/>
      <c r="C197" s="13"/>
      <c r="D197" s="13"/>
      <c r="E197" s="15"/>
      <c r="F197" s="15"/>
      <c r="G197" s="10"/>
      <c r="H197" s="10"/>
      <c r="I197" s="10"/>
      <c r="J197" s="10"/>
      <c r="K197" s="10"/>
      <c r="L197" s="10"/>
      <c r="M197" s="10"/>
      <c r="N197" s="11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2"/>
      <c r="BP197" s="14"/>
    </row>
    <row customHeight="true" ht="17" r="198">
      <c r="A198" s="13"/>
      <c r="B198" s="12"/>
      <c r="C198" s="13"/>
      <c r="D198" s="13"/>
      <c r="E198" s="15"/>
      <c r="F198" s="15"/>
      <c r="G198" s="10"/>
      <c r="H198" s="10"/>
      <c r="I198" s="10"/>
      <c r="J198" s="10"/>
      <c r="K198" s="10"/>
      <c r="L198" s="10"/>
      <c r="M198" s="10"/>
      <c r="N198" s="11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2"/>
      <c r="BP198" s="14"/>
    </row>
    <row customHeight="true" ht="17" r="199">
      <c r="A199" s="13"/>
      <c r="B199" s="12"/>
      <c r="C199" s="13"/>
      <c r="D199" s="13"/>
      <c r="E199" s="15"/>
      <c r="F199" s="15"/>
      <c r="G199" s="10"/>
      <c r="H199" s="10"/>
      <c r="I199" s="10"/>
      <c r="J199" s="10"/>
      <c r="K199" s="10"/>
      <c r="L199" s="10"/>
      <c r="M199" s="10"/>
      <c r="N199" s="11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2"/>
      <c r="BP199" s="14"/>
    </row>
    <row customHeight="true" ht="17" r="200">
      <c r="A200" s="13"/>
      <c r="B200" s="12"/>
      <c r="C200" s="13"/>
      <c r="D200" s="13"/>
      <c r="E200" s="15"/>
      <c r="F200" s="15"/>
      <c r="G200" s="10"/>
      <c r="H200" s="10"/>
      <c r="I200" s="10"/>
      <c r="J200" s="10"/>
      <c r="K200" s="10"/>
      <c r="L200" s="10"/>
      <c r="M200" s="10"/>
      <c r="N200" s="11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2"/>
      <c r="BP200" s="14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G3" xSplit="6" ySplit="2"/>
    </sheetView>
  </sheetViews>
  <sheetFormatPr defaultColWidth="14" defaultRowHeight="19"/>
  <cols>
    <col collapsed="false" customWidth="true" hidden="false" max="1" min="1" style="0" width="13"/>
    <col collapsed="false" customWidth="true" hidden="true" max="1" min="1" style="0" width="13"/>
    <col collapsed="false" customWidth="true" hidden="false" max="2" min="2" style="0" width="7"/>
    <col collapsed="false" customWidth="true" hidden="false" max="3" min="3" style="0" width="17"/>
    <col collapsed="false" customWidth="true" hidden="false" max="4" min="4" style="0" width="23"/>
    <col collapsed="false" customWidth="true" hidden="false" max="5" min="5" style="0" width="13"/>
    <col collapsed="false" customWidth="true" hidden="false" max="6" min="6" style="0" width="11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true" max="13" min="13" style="0" width="14"/>
    <col collapsed="false" customWidth="true" hidden="false" max="14" min="14" style="0" width="14"/>
    <col collapsed="false" customWidth="true" hidden="true" max="14" min="14" style="0" width="14"/>
    <col collapsed="false" customWidth="true" hidden="false" max="15" min="15" style="0" width="14"/>
    <col collapsed="false" customWidth="true" hidden="true" max="15" min="15" style="0" width="14"/>
    <col collapsed="false" customWidth="true" hidden="false" max="16" min="16" style="0" width="14"/>
    <col collapsed="false" customWidth="true" hidden="tru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38"/>
    <col collapsed="false" customWidth="true" hidden="false" max="20" min="20" style="0" width="11"/>
  </cols>
  <sheetData>
    <row customHeight="true" ht="19" r="1">
      <c r="A1" s="34"/>
      <c r="B1" s="35"/>
      <c r="C1" s="34"/>
      <c r="D1" s="34"/>
      <c r="E1" s="36"/>
      <c r="F1" s="36"/>
      <c r="G1" s="24" t="str">
        <v>Stock In
</v>
      </c>
      <c r="H1" s="24" t="str">
        <v>Location Transfer</v>
      </c>
      <c r="I1" s="24" t="str">
        <v>GRN</v>
      </c>
      <c r="J1" s="24" t="str">
        <v>Location Transfer</v>
      </c>
      <c r="K1" s="24" t="str">
        <v>Inv Adjustment</v>
      </c>
      <c r="L1" s="24" t="str">
        <v>GRN</v>
      </c>
      <c r="M1" s="51" t="str">
        <v>Sales</v>
      </c>
      <c r="N1" s="51" t="str">
        <v>Sales</v>
      </c>
      <c r="O1" s="51" t="str">
        <v>Sales</v>
      </c>
      <c r="P1" s="51" t="str">
        <v>Sales</v>
      </c>
      <c r="Q1" s="24"/>
      <c r="R1" s="24"/>
      <c r="S1" s="10"/>
      <c r="T1" s="34"/>
    </row>
    <row customHeight="true" ht="19" r="2">
      <c r="A2" s="29" t="str">
        <v>KRETA AYER</v>
      </c>
      <c r="B2" s="30" t="str">
        <v>Barcode</v>
      </c>
      <c r="C2" s="29" t="str">
        <v>Attributes2</v>
      </c>
      <c r="D2" s="29" t="str">
        <v>Attributes3</v>
      </c>
      <c r="E2" s="28" t="str">
        <v>Retail Price</v>
      </c>
      <c r="F2" s="28" t="str">
        <v>Cost Price (65%)</v>
      </c>
      <c r="G2" s="27" t="str">
        <v>Stock In
05/06/25</v>
      </c>
      <c r="H2" s="27" t="str">
        <v>Transfer Out to Corp Order
29/11/25</v>
      </c>
      <c r="I2" s="27" t="str">
        <v>Stock In
29/11/25</v>
      </c>
      <c r="J2" s="27" t="str">
        <v>Transfer Out to Corp Order
12/12/25</v>
      </c>
      <c r="K2" s="27" t="str">
        <v>Stock Out
29/01/26</v>
      </c>
      <c r="L2" s="27" t="str">
        <v>Stock In
29/01/26</v>
      </c>
      <c r="M2" s="44">
        <v>46048</v>
      </c>
      <c r="N2" s="44">
        <v>46079</v>
      </c>
      <c r="O2" s="44">
        <v>46107</v>
      </c>
      <c r="P2" s="44">
        <v>46138</v>
      </c>
      <c r="Q2" s="27"/>
      <c r="R2" s="27" t="str">
        <v>STOCKTAKE</v>
      </c>
      <c r="S2" s="21" t="str">
        <v>Remarks</v>
      </c>
      <c r="T2" s="34"/>
    </row>
    <row customHeight="true" ht="19" r="3">
      <c r="A3" s="2" t="str">
        <v>RIAU002009</v>
      </c>
      <c r="B3" s="9">
        <v>1244567891018</v>
      </c>
      <c r="C3" s="2" t="str">
        <v>Riau Candles (L)</v>
      </c>
      <c r="D3" s="2" t="str">
        <v>Amber &amp; Ash</v>
      </c>
      <c r="E3" s="5">
        <v>40</v>
      </c>
      <c r="F3" s="5">
        <v>19.5</v>
      </c>
      <c r="G3" s="1">
        <v>4</v>
      </c>
      <c r="H3" s="1"/>
      <c r="I3" s="1"/>
      <c r="J3" s="1"/>
      <c r="K3" s="1">
        <v>-2</v>
      </c>
      <c r="L3" s="1"/>
      <c r="M3" s="45"/>
      <c r="N3" s="45"/>
      <c r="O3" s="45"/>
      <c r="P3" s="45"/>
      <c r="Q3" s="4"/>
      <c r="R3" s="4"/>
      <c r="S3" s="7"/>
      <c r="T3" s="13"/>
    </row>
    <row customHeight="true" ht="19" r="4">
      <c r="A4" s="2"/>
      <c r="B4" s="9">
        <v>2511291307252</v>
      </c>
      <c r="C4" s="2" t="str">
        <v>Riau Candles (L)</v>
      </c>
      <c r="D4" s="2" t="str">
        <v>Apple Blossom</v>
      </c>
      <c r="E4" s="5">
        <v>40</v>
      </c>
      <c r="F4" s="5">
        <v>19.5</v>
      </c>
      <c r="G4" s="1"/>
      <c r="H4" s="1"/>
      <c r="I4" s="1">
        <v>2</v>
      </c>
      <c r="J4" s="1"/>
      <c r="K4" s="1">
        <v>-2</v>
      </c>
      <c r="L4" s="1"/>
      <c r="M4" s="45"/>
      <c r="N4" s="45"/>
      <c r="O4" s="45"/>
      <c r="P4" s="45"/>
      <c r="Q4" s="4"/>
      <c r="R4" s="4"/>
      <c r="S4" s="7"/>
      <c r="T4" s="13"/>
    </row>
    <row customHeight="true" ht="19" r="5">
      <c r="A5" s="2" t="str">
        <v>RIAU002001</v>
      </c>
      <c r="B5" s="9">
        <v>1244567891025</v>
      </c>
      <c r="C5" s="2" t="str">
        <v>Riau Candles (L)</v>
      </c>
      <c r="D5" s="2" t="str">
        <v>Brown Sugar &amp; Fig</v>
      </c>
      <c r="E5" s="5">
        <v>40</v>
      </c>
      <c r="F5" s="5">
        <v>19.5</v>
      </c>
      <c r="G5" s="1"/>
      <c r="H5" s="1"/>
      <c r="I5" s="1"/>
      <c r="J5" s="1"/>
      <c r="K5" s="1"/>
      <c r="L5" s="1"/>
      <c r="M5" s="45"/>
      <c r="N5" s="45"/>
      <c r="O5" s="45"/>
      <c r="P5" s="45"/>
      <c r="Q5" s="4"/>
      <c r="R5" s="4"/>
      <c r="S5" s="7"/>
      <c r="T5" s="13"/>
    </row>
    <row customHeight="true" ht="19" r="6">
      <c r="A6" s="2" t="str">
        <v>RIAU002015</v>
      </c>
      <c r="B6" s="9">
        <v>1244567891032</v>
      </c>
      <c r="C6" s="2" t="str">
        <v>Riau Candles (L)</v>
      </c>
      <c r="D6" s="2" t="str">
        <v>Christmas Tree</v>
      </c>
      <c r="E6" s="5">
        <v>40</v>
      </c>
      <c r="F6" s="5">
        <v>19.5</v>
      </c>
      <c r="G6" s="1"/>
      <c r="H6" s="1"/>
      <c r="I6" s="1"/>
      <c r="J6" s="1"/>
      <c r="K6" s="1"/>
      <c r="L6" s="1"/>
      <c r="M6" s="45"/>
      <c r="N6" s="45"/>
      <c r="O6" s="45"/>
      <c r="P6" s="45"/>
      <c r="Q6" s="4"/>
      <c r="R6" s="4"/>
      <c r="S6" s="46"/>
      <c r="T6" s="13"/>
    </row>
    <row customHeight="true" ht="19" r="7">
      <c r="A7" s="2" t="str">
        <v>RIAU002019</v>
      </c>
      <c r="B7" s="9">
        <v>124456789104</v>
      </c>
      <c r="C7" s="2" t="str">
        <v>Riau Candles (L)</v>
      </c>
      <c r="D7" s="2" t="str">
        <v>Citronella</v>
      </c>
      <c r="E7" s="5">
        <v>40</v>
      </c>
      <c r="F7" s="5">
        <v>19.5</v>
      </c>
      <c r="G7" s="1"/>
      <c r="H7" s="1"/>
      <c r="I7" s="1">
        <v>5</v>
      </c>
      <c r="J7" s="1"/>
      <c r="K7" s="1">
        <v>-5</v>
      </c>
      <c r="L7" s="1"/>
      <c r="M7" s="45"/>
      <c r="N7" s="45"/>
      <c r="O7" s="45"/>
      <c r="P7" s="45"/>
      <c r="Q7" s="4"/>
      <c r="R7" s="4"/>
      <c r="S7" s="7"/>
      <c r="T7" s="13"/>
    </row>
    <row customHeight="true" ht="19" r="8">
      <c r="A8" s="2" t="str">
        <v>RIAU002012</v>
      </c>
      <c r="B8" s="9">
        <v>1244567891209</v>
      </c>
      <c r="C8" s="2" t="str">
        <v>Riau Candles (L)</v>
      </c>
      <c r="D8" s="2" t="str">
        <v>Coffee &amp; Cream</v>
      </c>
      <c r="E8" s="5">
        <v>40</v>
      </c>
      <c r="F8" s="5">
        <v>19.5</v>
      </c>
      <c r="G8" s="1"/>
      <c r="H8" s="1"/>
      <c r="I8" s="1">
        <v>5</v>
      </c>
      <c r="J8" s="1"/>
      <c r="K8" s="1">
        <v>-3</v>
      </c>
      <c r="L8" s="1"/>
      <c r="M8" s="45">
        <v>-1</v>
      </c>
      <c r="N8" s="45"/>
      <c r="O8" s="45"/>
      <c r="P8" s="45"/>
      <c r="Q8" s="4"/>
      <c r="R8" s="4"/>
      <c r="S8" s="7"/>
      <c r="T8" s="13"/>
    </row>
    <row customHeight="true" ht="19" r="9">
      <c r="A9" s="2"/>
      <c r="B9" s="9">
        <v>2512161104513</v>
      </c>
      <c r="C9" s="2" t="str">
        <v>Riau Candles (L)</v>
      </c>
      <c r="D9" s="2" t="str">
        <v>Daydream</v>
      </c>
      <c r="E9" s="5">
        <v>40</v>
      </c>
      <c r="F9" s="5">
        <v>19.5</v>
      </c>
      <c r="G9" s="1"/>
      <c r="H9" s="1"/>
      <c r="I9" s="1"/>
      <c r="J9" s="1"/>
      <c r="K9" s="1"/>
      <c r="L9" s="1"/>
      <c r="M9" s="45"/>
      <c r="N9" s="45"/>
      <c r="O9" s="45"/>
      <c r="P9" s="45"/>
      <c r="Q9" s="4"/>
      <c r="R9" s="4"/>
      <c r="S9" s="7"/>
      <c r="T9" s="13"/>
    </row>
    <row customHeight="true" ht="19" r="10">
      <c r="A10" s="2"/>
      <c r="B10" s="7">
        <v>2403121716399</v>
      </c>
      <c r="C10" s="2" t="str">
        <v>Riau Candles (L)</v>
      </c>
      <c r="D10" s="2" t="str">
        <v>Desert Sunset</v>
      </c>
      <c r="E10" s="5">
        <v>40</v>
      </c>
      <c r="F10" s="5">
        <v>19.5</v>
      </c>
      <c r="G10" s="1"/>
      <c r="H10" s="1"/>
      <c r="I10" s="1"/>
      <c r="J10" s="1"/>
      <c r="K10" s="1"/>
      <c r="L10" s="1"/>
      <c r="M10" s="45"/>
      <c r="N10" s="45"/>
      <c r="O10" s="45"/>
      <c r="P10" s="45"/>
      <c r="Q10" s="4"/>
      <c r="R10" s="4"/>
      <c r="S10" s="7"/>
      <c r="T10" s="13"/>
    </row>
    <row customHeight="true" ht="19" r="11">
      <c r="A11" s="2" t="str">
        <v>RIAU006002</v>
      </c>
      <c r="B11" s="9">
        <v>1244567891056</v>
      </c>
      <c r="C11" s="2" t="str">
        <v>Riau Candles (L)</v>
      </c>
      <c r="D11" s="2" t="str">
        <v>Eucalyptus &amp; Mint</v>
      </c>
      <c r="E11" s="5">
        <v>40</v>
      </c>
      <c r="F11" s="5">
        <v>19.5</v>
      </c>
      <c r="G11" s="1"/>
      <c r="H11" s="1"/>
      <c r="I11" s="1"/>
      <c r="J11" s="1"/>
      <c r="K11" s="1"/>
      <c r="L11" s="1"/>
      <c r="M11" s="45"/>
      <c r="N11" s="45"/>
      <c r="O11" s="45"/>
      <c r="P11" s="45"/>
      <c r="Q11" s="4"/>
      <c r="R11" s="4"/>
      <c r="S11" s="7"/>
      <c r="T11" s="13"/>
    </row>
    <row customHeight="true" ht="19" r="12">
      <c r="A12" s="2" t="str">
        <v>RIAU002008</v>
      </c>
      <c r="B12" s="9">
        <v>1244567891063</v>
      </c>
      <c r="C12" s="2" t="str">
        <v>Riau Candles (L)</v>
      </c>
      <c r="D12" s="2" t="str">
        <v>Forest Berry</v>
      </c>
      <c r="E12" s="5">
        <v>40</v>
      </c>
      <c r="F12" s="5">
        <v>19.5</v>
      </c>
      <c r="G12" s="1"/>
      <c r="H12" s="1"/>
      <c r="I12" s="1"/>
      <c r="J12" s="1"/>
      <c r="K12" s="1"/>
      <c r="L12" s="1"/>
      <c r="M12" s="45"/>
      <c r="N12" s="45"/>
      <c r="O12" s="45"/>
      <c r="P12" s="45"/>
      <c r="Q12" s="4"/>
      <c r="R12" s="4"/>
      <c r="S12" s="7"/>
      <c r="T12" s="13"/>
    </row>
    <row customHeight="true" ht="19" r="13">
      <c r="A13" s="2" t="str">
        <v>RIAU006003</v>
      </c>
      <c r="B13" s="9">
        <v>1244567891070</v>
      </c>
      <c r="C13" s="2" t="str">
        <v>Riau Candles (L)</v>
      </c>
      <c r="D13" s="2" t="str">
        <v>French Vanilla</v>
      </c>
      <c r="E13" s="5">
        <v>40</v>
      </c>
      <c r="F13" s="5">
        <v>19.5</v>
      </c>
      <c r="G13" s="1"/>
      <c r="H13" s="1"/>
      <c r="I13" s="1"/>
      <c r="J13" s="1"/>
      <c r="K13" s="1"/>
      <c r="L13" s="1"/>
      <c r="M13" s="45"/>
      <c r="N13" s="45"/>
      <c r="O13" s="45"/>
      <c r="P13" s="45"/>
      <c r="Q13" s="4"/>
      <c r="R13" s="4"/>
      <c r="S13" s="7"/>
      <c r="T13" s="13"/>
    </row>
    <row customHeight="true" ht="19" r="14">
      <c r="A14" s="2" t="str">
        <v>RIAU002004</v>
      </c>
      <c r="B14" s="9">
        <v>1244567891087</v>
      </c>
      <c r="C14" s="2" t="str">
        <v>Riau Candles (L)</v>
      </c>
      <c r="D14" s="2" t="str">
        <v>Honeysuckle Jasmine</v>
      </c>
      <c r="E14" s="5">
        <v>40</v>
      </c>
      <c r="F14" s="5">
        <v>19.5</v>
      </c>
      <c r="G14" s="1"/>
      <c r="H14" s="1"/>
      <c r="I14" s="1">
        <v>5</v>
      </c>
      <c r="J14" s="1"/>
      <c r="K14" s="1">
        <v>-5</v>
      </c>
      <c r="L14" s="1"/>
      <c r="M14" s="45"/>
      <c r="N14" s="45"/>
      <c r="O14" s="45"/>
      <c r="P14" s="45"/>
      <c r="Q14" s="4"/>
      <c r="R14" s="4"/>
      <c r="S14" s="7"/>
      <c r="T14" s="13"/>
    </row>
    <row customHeight="true" ht="19" r="15">
      <c r="A15" s="2" t="str">
        <v>RIAU002007</v>
      </c>
      <c r="B15" s="9">
        <v>1244567891094</v>
      </c>
      <c r="C15" s="2" t="str">
        <v>Riau Candles (L)</v>
      </c>
      <c r="D15" s="2" t="str">
        <v>Island Coconut</v>
      </c>
      <c r="E15" s="5">
        <v>40</v>
      </c>
      <c r="F15" s="5">
        <v>19.5</v>
      </c>
      <c r="G15" s="1"/>
      <c r="H15" s="1"/>
      <c r="I15" s="1">
        <v>5</v>
      </c>
      <c r="J15" s="1"/>
      <c r="K15" s="1">
        <v>-4</v>
      </c>
      <c r="L15" s="1"/>
      <c r="M15" s="45">
        <v>-1</v>
      </c>
      <c r="N15" s="45"/>
      <c r="O15" s="45"/>
      <c r="P15" s="45"/>
      <c r="Q15" s="4"/>
      <c r="R15" s="4"/>
      <c r="S15" s="2"/>
      <c r="T15" s="13"/>
    </row>
    <row customHeight="true" ht="19" r="16">
      <c r="A16" s="2" t="str">
        <v>RIAU002010</v>
      </c>
      <c r="B16" s="9">
        <v>1244567891100</v>
      </c>
      <c r="C16" s="2" t="str">
        <v>Riau Candles (L)</v>
      </c>
      <c r="D16" s="2" t="str">
        <v>Island Driftwood</v>
      </c>
      <c r="E16" s="5">
        <v>40</v>
      </c>
      <c r="F16" s="5">
        <v>19.5</v>
      </c>
      <c r="G16" s="1"/>
      <c r="H16" s="1"/>
      <c r="I16" s="1">
        <v>5</v>
      </c>
      <c r="J16" s="1"/>
      <c r="K16" s="1">
        <v>-5</v>
      </c>
      <c r="L16" s="1"/>
      <c r="M16" s="45"/>
      <c r="N16" s="45"/>
      <c r="O16" s="45"/>
      <c r="P16" s="45"/>
      <c r="Q16" s="4"/>
      <c r="R16" s="4"/>
      <c r="S16" s="46"/>
      <c r="T16" s="13"/>
    </row>
    <row customHeight="true" ht="19" r="17">
      <c r="A17" s="2" t="str">
        <v>RIAU002010</v>
      </c>
      <c r="B17" s="9">
        <v>1244567891117</v>
      </c>
      <c r="C17" s="2" t="str">
        <v>Riau Candles (L)</v>
      </c>
      <c r="D17" s="2" t="str">
        <v>Lavender</v>
      </c>
      <c r="E17" s="5">
        <v>40</v>
      </c>
      <c r="F17" s="5">
        <v>19.5</v>
      </c>
      <c r="G17" s="1"/>
      <c r="H17" s="1"/>
      <c r="I17" s="1"/>
      <c r="J17" s="1"/>
      <c r="K17" s="1"/>
      <c r="L17" s="1"/>
      <c r="M17" s="45"/>
      <c r="N17" s="45"/>
      <c r="O17" s="45"/>
      <c r="P17" s="45"/>
      <c r="Q17" s="4"/>
      <c r="R17" s="4"/>
      <c r="S17" s="7"/>
      <c r="T17" s="13"/>
    </row>
    <row customHeight="true" ht="19" r="18">
      <c r="A18" s="2" t="str">
        <v>RIAU002002</v>
      </c>
      <c r="B18" s="9">
        <v>1244567891124</v>
      </c>
      <c r="C18" s="2" t="str">
        <v>Riau Candles (L)</v>
      </c>
      <c r="D18" s="2" t="str">
        <v>Lemongrass Tea</v>
      </c>
      <c r="E18" s="5">
        <v>40</v>
      </c>
      <c r="F18" s="5">
        <v>19.5</v>
      </c>
      <c r="G18" s="1"/>
      <c r="H18" s="1"/>
      <c r="I18" s="1"/>
      <c r="J18" s="1"/>
      <c r="K18" s="1"/>
      <c r="L18" s="1"/>
      <c r="M18" s="45"/>
      <c r="N18" s="45"/>
      <c r="O18" s="45"/>
      <c r="P18" s="45"/>
      <c r="Q18" s="4"/>
      <c r="R18" s="4"/>
      <c r="S18" s="7"/>
      <c r="T18" s="13"/>
    </row>
    <row customHeight="true" ht="19" r="19">
      <c r="A19" s="2" t="str">
        <v>RIAU002017</v>
      </c>
      <c r="B19" s="9">
        <v>2502210909350</v>
      </c>
      <c r="C19" s="2" t="str">
        <v>Riau Candles (L)</v>
      </c>
      <c r="D19" s="2" t="str">
        <v>Matcha &amp; Bergamot</v>
      </c>
      <c r="E19" s="5">
        <v>40</v>
      </c>
      <c r="F19" s="5">
        <v>19.5</v>
      </c>
      <c r="G19" s="1">
        <v>4</v>
      </c>
      <c r="H19" s="1"/>
      <c r="I19" s="1"/>
      <c r="J19" s="1"/>
      <c r="K19" s="1">
        <v>-1</v>
      </c>
      <c r="L19" s="1"/>
      <c r="M19" s="45"/>
      <c r="N19" s="45"/>
      <c r="O19" s="45"/>
      <c r="P19" s="45"/>
      <c r="Q19" s="4"/>
      <c r="R19" s="4"/>
      <c r="S19" s="7"/>
      <c r="T19" s="13"/>
    </row>
    <row customHeight="true" ht="19" r="20">
      <c r="A20" s="2" t="str">
        <v>RIAU002003</v>
      </c>
      <c r="B20" s="9">
        <v>1244567891131</v>
      </c>
      <c r="C20" s="2" t="str">
        <v>Riau Candles (L)</v>
      </c>
      <c r="D20" s="2" t="str">
        <v>Merry Mistletoe</v>
      </c>
      <c r="E20" s="5">
        <v>40</v>
      </c>
      <c r="F20" s="5">
        <v>19.5</v>
      </c>
      <c r="G20" s="1"/>
      <c r="H20" s="1"/>
      <c r="I20" s="1"/>
      <c r="J20" s="1"/>
      <c r="K20" s="1"/>
      <c r="L20" s="1"/>
      <c r="M20" s="45"/>
      <c r="N20" s="45"/>
      <c r="O20" s="45"/>
      <c r="P20" s="45"/>
      <c r="Q20" s="4"/>
      <c r="R20" s="4"/>
      <c r="S20" s="7"/>
      <c r="T20" s="13"/>
    </row>
    <row customHeight="true" ht="19" r="21">
      <c r="A21" s="2" t="str">
        <v>RIAU002011</v>
      </c>
      <c r="B21" s="9">
        <v>1244567891148</v>
      </c>
      <c r="C21" s="2" t="str">
        <v>Riau Candles (L)</v>
      </c>
      <c r="D21" s="2" t="str">
        <v>Mountain Rain</v>
      </c>
      <c r="E21" s="5">
        <v>40</v>
      </c>
      <c r="F21" s="5">
        <v>19.5</v>
      </c>
      <c r="G21" s="1"/>
      <c r="H21" s="1"/>
      <c r="I21" s="1"/>
      <c r="J21" s="1"/>
      <c r="K21" s="1"/>
      <c r="L21" s="1"/>
      <c r="M21" s="45"/>
      <c r="N21" s="45"/>
      <c r="O21" s="45"/>
      <c r="P21" s="45"/>
      <c r="Q21" s="4"/>
      <c r="R21" s="4"/>
      <c r="S21" s="7"/>
      <c r="T21" s="13"/>
    </row>
    <row customHeight="true" ht="19" r="22">
      <c r="A22" s="2" t="str">
        <v>RIAU002016</v>
      </c>
      <c r="B22" s="9">
        <v>1244567891155</v>
      </c>
      <c r="C22" s="2" t="str">
        <v>Riau Candles (L)</v>
      </c>
      <c r="D22" s="2" t="str">
        <v>Sandalwood &amp; Citrus</v>
      </c>
      <c r="E22" s="5">
        <v>40</v>
      </c>
      <c r="F22" s="5">
        <v>19.5</v>
      </c>
      <c r="G22" s="1"/>
      <c r="H22" s="1"/>
      <c r="I22" s="1"/>
      <c r="J22" s="1"/>
      <c r="K22" s="1"/>
      <c r="L22" s="1"/>
      <c r="M22" s="45"/>
      <c r="N22" s="45"/>
      <c r="O22" s="45"/>
      <c r="P22" s="45"/>
      <c r="Q22" s="4"/>
      <c r="R22" s="4"/>
      <c r="S22" s="46"/>
      <c r="T22" s="13"/>
    </row>
    <row customHeight="true" ht="19" r="23">
      <c r="A23" s="2" t="str">
        <v>RIAU002012</v>
      </c>
      <c r="B23" s="9">
        <v>1244567891162</v>
      </c>
      <c r="C23" s="2" t="str">
        <v>Riau Candles (L)</v>
      </c>
      <c r="D23" s="2" t="str">
        <v>Spice Market</v>
      </c>
      <c r="E23" s="5">
        <v>40</v>
      </c>
      <c r="F23" s="5">
        <v>19.5</v>
      </c>
      <c r="G23" s="1"/>
      <c r="H23" s="1"/>
      <c r="I23" s="1"/>
      <c r="J23" s="1"/>
      <c r="K23" s="1"/>
      <c r="L23" s="1"/>
      <c r="M23" s="45"/>
      <c r="N23" s="45"/>
      <c r="O23" s="45"/>
      <c r="P23" s="45"/>
      <c r="Q23" s="4"/>
      <c r="R23" s="4"/>
      <c r="S23" s="7"/>
      <c r="T23" s="13"/>
    </row>
    <row customHeight="true" ht="19" r="24">
      <c r="A24" s="2" t="str">
        <v>RIAU002013</v>
      </c>
      <c r="B24" s="9">
        <v>2502210909244</v>
      </c>
      <c r="C24" s="2" t="str">
        <v>Riau Candles (L)</v>
      </c>
      <c r="D24" s="2" t="str">
        <v>Tonka &amp; Oud</v>
      </c>
      <c r="E24" s="5">
        <v>40</v>
      </c>
      <c r="F24" s="5">
        <v>19.5</v>
      </c>
      <c r="G24" s="1">
        <v>4</v>
      </c>
      <c r="H24" s="1"/>
      <c r="I24" s="1"/>
      <c r="J24" s="1"/>
      <c r="K24" s="1">
        <v>-1</v>
      </c>
      <c r="L24" s="1"/>
      <c r="M24" s="45"/>
      <c r="N24" s="45"/>
      <c r="O24" s="45"/>
      <c r="P24" s="45"/>
      <c r="Q24" s="4"/>
      <c r="R24" s="4"/>
      <c r="S24" s="7"/>
      <c r="T24" s="13"/>
    </row>
    <row customHeight="true" ht="19" r="25">
      <c r="A25" s="2"/>
      <c r="B25" s="9">
        <v>1244567891179</v>
      </c>
      <c r="C25" s="2" t="str">
        <v>Riau Candles (L)</v>
      </c>
      <c r="D25" s="2" t="str">
        <v>Vanilla &amp; Spice</v>
      </c>
      <c r="E25" s="5">
        <v>40</v>
      </c>
      <c r="F25" s="5">
        <v>19.5</v>
      </c>
      <c r="G25" s="1"/>
      <c r="H25" s="1"/>
      <c r="I25" s="1">
        <v>2</v>
      </c>
      <c r="J25" s="1"/>
      <c r="K25" s="1">
        <v>-2</v>
      </c>
      <c r="L25" s="1"/>
      <c r="M25" s="45"/>
      <c r="N25" s="45"/>
      <c r="O25" s="45"/>
      <c r="P25" s="45"/>
      <c r="Q25" s="4"/>
      <c r="R25" s="4"/>
      <c r="S25" s="7"/>
      <c r="T25" s="13"/>
    </row>
    <row customHeight="true" ht="19" r="26">
      <c r="A26" s="2"/>
      <c r="B26" s="9">
        <v>1244567891186</v>
      </c>
      <c r="C26" s="2" t="str">
        <v>Riau Candles (L)</v>
      </c>
      <c r="D26" s="2" t="str">
        <v>White Lily</v>
      </c>
      <c r="E26" s="5">
        <v>40</v>
      </c>
      <c r="F26" s="5">
        <v>19.5</v>
      </c>
      <c r="G26" s="1">
        <v>4</v>
      </c>
      <c r="H26" s="1"/>
      <c r="I26" s="1"/>
      <c r="J26" s="1"/>
      <c r="K26" s="1">
        <v>-3</v>
      </c>
      <c r="L26" s="1"/>
      <c r="M26" s="45"/>
      <c r="N26" s="45"/>
      <c r="O26" s="45"/>
      <c r="P26" s="45"/>
      <c r="Q26" s="4"/>
      <c r="R26" s="4"/>
      <c r="S26" s="7"/>
      <c r="T26" s="13"/>
    </row>
    <row customHeight="true" ht="19" r="27">
      <c r="A27" s="2" t="str">
        <v>RIAU002006</v>
      </c>
      <c r="B27" s="9">
        <v>1244567891193</v>
      </c>
      <c r="C27" s="2" t="str">
        <v>Riau Candles (L)</v>
      </c>
      <c r="D27" s="2" t="str">
        <v>Wild Rose</v>
      </c>
      <c r="E27" s="5">
        <v>40</v>
      </c>
      <c r="F27" s="5">
        <v>19.5</v>
      </c>
      <c r="G27" s="1"/>
      <c r="H27" s="1"/>
      <c r="I27" s="1"/>
      <c r="J27" s="1"/>
      <c r="K27" s="1"/>
      <c r="L27" s="1"/>
      <c r="M27" s="45"/>
      <c r="N27" s="45"/>
      <c r="O27" s="45"/>
      <c r="P27" s="45"/>
      <c r="Q27" s="4"/>
      <c r="R27" s="4"/>
      <c r="S27" s="7"/>
      <c r="T27" s="13"/>
    </row>
    <row customHeight="true" ht="19" r="28">
      <c r="A28" s="16"/>
      <c r="B28" s="16"/>
      <c r="C28" s="16"/>
      <c r="D28" s="16"/>
      <c r="E28" s="16"/>
      <c r="F28" s="16"/>
      <c r="G28" s="47">
        <f>sum(G3:G27)</f>
      </c>
      <c r="H28" s="47">
        <f>sum(H3:H27)</f>
      </c>
      <c r="I28" s="47">
        <f>sum(I3:I27)</f>
      </c>
      <c r="J28" s="47">
        <f>sum(J3:J27)</f>
      </c>
      <c r="K28" s="47">
        <f>sum(K3:K27)</f>
      </c>
      <c r="L28" s="47">
        <f>sum(L3:L27)</f>
      </c>
      <c r="M28" s="47">
        <f>sum(M3:M27)</f>
      </c>
      <c r="N28" s="47">
        <f>sum(N3:N27)</f>
      </c>
      <c r="O28" s="47">
        <f>sum(O3:O27)</f>
      </c>
      <c r="P28" s="47"/>
      <c r="Q28" s="47">
        <f>sum(Q3:Q27)</f>
      </c>
      <c r="R28" s="47">
        <f>sum(R3:R27)</f>
      </c>
      <c r="S28" s="16"/>
      <c r="T28" s="48"/>
    </row>
    <row customHeight="true" ht="19" r="29">
      <c r="A29" s="2" t="str">
        <v>RIAU004013</v>
      </c>
      <c r="B29" s="9">
        <v>1224567891010</v>
      </c>
      <c r="C29" s="2" t="str">
        <v>Riau Candles (M)</v>
      </c>
      <c r="D29" s="2" t="str">
        <v>Amber &amp; Ash</v>
      </c>
      <c r="E29" s="5">
        <v>30</v>
      </c>
      <c r="F29" s="5">
        <v>13</v>
      </c>
      <c r="G29" s="1">
        <v>6</v>
      </c>
      <c r="H29" s="1">
        <v>-3</v>
      </c>
      <c r="I29" s="1"/>
      <c r="J29" s="1">
        <v>-3</v>
      </c>
      <c r="K29" s="1"/>
      <c r="L29" s="1">
        <v>4</v>
      </c>
      <c r="M29" s="45"/>
      <c r="N29" s="45"/>
      <c r="O29" s="45"/>
      <c r="P29" s="45"/>
      <c r="Q29" s="4"/>
      <c r="R29" s="4">
        <v>4</v>
      </c>
      <c r="S29" s="7"/>
      <c r="T29" s="13"/>
    </row>
    <row customHeight="true" ht="19" r="30">
      <c r="A30" s="2"/>
      <c r="B30" s="9">
        <v>2210032311199</v>
      </c>
      <c r="C30" s="2" t="str">
        <v>Riau Candles (M)</v>
      </c>
      <c r="D30" s="2" t="str">
        <v>Brown Sugar &amp; Fig</v>
      </c>
      <c r="E30" s="5">
        <v>30</v>
      </c>
      <c r="F30" s="5">
        <v>13</v>
      </c>
      <c r="G30" s="1"/>
      <c r="H30" s="1"/>
      <c r="I30" s="1"/>
      <c r="J30" s="1"/>
      <c r="K30" s="1"/>
      <c r="L30" s="1"/>
      <c r="M30" s="45"/>
      <c r="N30" s="45"/>
      <c r="O30" s="45"/>
      <c r="P30" s="45"/>
      <c r="Q30" s="4"/>
      <c r="R30" s="4"/>
      <c r="S30" s="7"/>
      <c r="T30" s="13"/>
    </row>
    <row customHeight="true" ht="19" r="31">
      <c r="A31" s="2" t="str">
        <v>RIAU004018</v>
      </c>
      <c r="B31" s="9">
        <v>1224567891027</v>
      </c>
      <c r="C31" s="2" t="str">
        <v>Riau Candles (M)</v>
      </c>
      <c r="D31" s="2" t="str">
        <v>Christmas Tree</v>
      </c>
      <c r="E31" s="5">
        <v>30</v>
      </c>
      <c r="F31" s="5">
        <v>13</v>
      </c>
      <c r="G31" s="1"/>
      <c r="H31" s="1"/>
      <c r="I31" s="1"/>
      <c r="J31" s="1"/>
      <c r="K31" s="1"/>
      <c r="L31" s="1"/>
      <c r="M31" s="45"/>
      <c r="N31" s="45"/>
      <c r="O31" s="45"/>
      <c r="P31" s="45"/>
      <c r="Q31" s="4"/>
      <c r="R31" s="4"/>
      <c r="S31" s="7"/>
      <c r="T31" s="13"/>
    </row>
    <row customHeight="true" ht="19" r="32">
      <c r="A32" s="2" t="str">
        <v>RIAU005012</v>
      </c>
      <c r="B32" s="9">
        <v>1224567891034</v>
      </c>
      <c r="C32" s="2" t="str">
        <v>Riau Candles (M)</v>
      </c>
      <c r="D32" s="2" t="str">
        <v>Clean Cotton</v>
      </c>
      <c r="E32" s="5">
        <v>30</v>
      </c>
      <c r="F32" s="5">
        <v>13</v>
      </c>
      <c r="G32" s="1"/>
      <c r="H32" s="1"/>
      <c r="I32" s="1"/>
      <c r="J32" s="1"/>
      <c r="K32" s="1"/>
      <c r="L32" s="1"/>
      <c r="M32" s="45"/>
      <c r="N32" s="45"/>
      <c r="O32" s="45"/>
      <c r="P32" s="45"/>
      <c r="Q32" s="4"/>
      <c r="R32" s="4"/>
      <c r="S32" s="7"/>
      <c r="T32" s="13"/>
    </row>
    <row customHeight="true" ht="19" r="33">
      <c r="A33" s="2"/>
      <c r="B33" s="9">
        <v>2210032312011</v>
      </c>
      <c r="C33" s="2" t="str">
        <v>Riau Candles (M)</v>
      </c>
      <c r="D33" s="2" t="str">
        <v>Coffee &amp; Cream</v>
      </c>
      <c r="E33" s="5">
        <v>30</v>
      </c>
      <c r="F33" s="5">
        <v>13</v>
      </c>
      <c r="G33" s="1"/>
      <c r="H33" s="1"/>
      <c r="I33" s="1"/>
      <c r="J33" s="1"/>
      <c r="K33" s="1"/>
      <c r="L33" s="1"/>
      <c r="M33" s="45"/>
      <c r="N33" s="45"/>
      <c r="O33" s="45"/>
      <c r="P33" s="45"/>
      <c r="Q33" s="4"/>
      <c r="R33" s="4"/>
      <c r="S33" s="7"/>
      <c r="T33" s="13"/>
    </row>
    <row customHeight="true" ht="19" r="34">
      <c r="A34" s="2"/>
      <c r="B34" s="9">
        <v>2512161044079</v>
      </c>
      <c r="C34" s="2" t="str">
        <v>Riau Candles (M)</v>
      </c>
      <c r="D34" s="2" t="str">
        <v>Daydream</v>
      </c>
      <c r="E34" s="5">
        <v>30</v>
      </c>
      <c r="F34" s="5">
        <v>13</v>
      </c>
      <c r="G34" s="1"/>
      <c r="H34" s="1"/>
      <c r="I34" s="1"/>
      <c r="J34" s="1"/>
      <c r="K34" s="1"/>
      <c r="L34" s="1"/>
      <c r="M34" s="45"/>
      <c r="N34" s="45"/>
      <c r="O34" s="45"/>
      <c r="P34" s="45"/>
      <c r="Q34" s="4"/>
      <c r="R34" s="4"/>
      <c r="S34" s="7"/>
      <c r="T34" s="13"/>
    </row>
    <row customHeight="true" ht="19" r="35">
      <c r="A35" s="2"/>
      <c r="B35" s="7">
        <v>2403121717075</v>
      </c>
      <c r="C35" s="2" t="str">
        <v>Riau Candles (M)</v>
      </c>
      <c r="D35" s="2" t="str">
        <v>Desert Sunset</v>
      </c>
      <c r="E35" s="5">
        <v>30</v>
      </c>
      <c r="F35" s="5">
        <v>13</v>
      </c>
      <c r="G35" s="1"/>
      <c r="H35" s="1"/>
      <c r="I35" s="1"/>
      <c r="J35" s="1"/>
      <c r="K35" s="1"/>
      <c r="L35" s="1"/>
      <c r="M35" s="45"/>
      <c r="N35" s="45"/>
      <c r="O35" s="45"/>
      <c r="P35" s="45"/>
      <c r="Q35" s="4"/>
      <c r="R35" s="4"/>
      <c r="S35" s="7"/>
      <c r="T35" s="13"/>
    </row>
    <row customHeight="true" ht="19" r="36">
      <c r="A36" s="2" t="str">
        <v>RIAU005002</v>
      </c>
      <c r="B36" s="9">
        <v>1224567891041</v>
      </c>
      <c r="C36" s="2" t="str">
        <v>Riau Candles (M)</v>
      </c>
      <c r="D36" s="2" t="str">
        <v>Eucalyptus &amp; Mint</v>
      </c>
      <c r="E36" s="5">
        <v>30</v>
      </c>
      <c r="F36" s="5">
        <v>13</v>
      </c>
      <c r="G36" s="1"/>
      <c r="H36" s="1"/>
      <c r="I36" s="1"/>
      <c r="J36" s="1"/>
      <c r="K36" s="1"/>
      <c r="L36" s="1">
        <v>4</v>
      </c>
      <c r="M36" s="45"/>
      <c r="N36" s="45"/>
      <c r="O36" s="45"/>
      <c r="P36" s="45"/>
      <c r="Q36" s="4"/>
      <c r="R36" s="4">
        <v>4</v>
      </c>
      <c r="S36" s="7"/>
      <c r="T36" s="13"/>
    </row>
    <row customHeight="true" ht="19" r="37">
      <c r="A37" s="2" t="str">
        <v>RIAU004012</v>
      </c>
      <c r="B37" s="9">
        <v>1224567891058</v>
      </c>
      <c r="C37" s="2" t="str">
        <v>Riau Candles (M)</v>
      </c>
      <c r="D37" s="2" t="str">
        <v>Forest Berry</v>
      </c>
      <c r="E37" s="5">
        <v>30</v>
      </c>
      <c r="F37" s="5">
        <v>13</v>
      </c>
      <c r="G37" s="1"/>
      <c r="H37" s="1"/>
      <c r="I37" s="1"/>
      <c r="J37" s="1"/>
      <c r="K37" s="1"/>
      <c r="L37" s="1"/>
      <c r="M37" s="45"/>
      <c r="N37" s="45"/>
      <c r="O37" s="45"/>
      <c r="P37" s="45"/>
      <c r="Q37" s="4"/>
      <c r="R37" s="4"/>
      <c r="S37" s="7"/>
      <c r="T37" s="13"/>
    </row>
    <row customHeight="true" ht="19" r="38">
      <c r="A38" s="2" t="str">
        <v>RIAU005003</v>
      </c>
      <c r="B38" s="9">
        <v>1224567891065</v>
      </c>
      <c r="C38" s="2" t="str">
        <v>Riau Candles (M)</v>
      </c>
      <c r="D38" s="2" t="str">
        <v>French Vanilla</v>
      </c>
      <c r="E38" s="5">
        <v>30</v>
      </c>
      <c r="F38" s="5">
        <v>13</v>
      </c>
      <c r="G38" s="1"/>
      <c r="H38" s="1"/>
      <c r="I38" s="1"/>
      <c r="J38" s="1"/>
      <c r="K38" s="1"/>
      <c r="L38" s="1"/>
      <c r="M38" s="45"/>
      <c r="N38" s="45"/>
      <c r="O38" s="45"/>
      <c r="P38" s="45"/>
      <c r="Q38" s="4"/>
      <c r="R38" s="4"/>
      <c r="S38" s="7"/>
      <c r="T38" s="13"/>
    </row>
    <row customHeight="true" ht="19" r="39">
      <c r="A39" s="2" t="str">
        <v>RIAU004001</v>
      </c>
      <c r="B39" s="9">
        <v>1224567891072</v>
      </c>
      <c r="C39" s="2" t="str">
        <v>Riau Candles (M)</v>
      </c>
      <c r="D39" s="2" t="str">
        <v>Honeysuckle Jasmine</v>
      </c>
      <c r="E39" s="5">
        <v>30</v>
      </c>
      <c r="F39" s="5">
        <v>13</v>
      </c>
      <c r="G39" s="1"/>
      <c r="H39" s="1"/>
      <c r="I39" s="1"/>
      <c r="J39" s="1"/>
      <c r="K39" s="1"/>
      <c r="L39" s="1"/>
      <c r="M39" s="45"/>
      <c r="N39" s="45"/>
      <c r="O39" s="45"/>
      <c r="P39" s="45"/>
      <c r="Q39" s="4"/>
      <c r="R39" s="4"/>
      <c r="S39" s="7"/>
      <c r="T39" s="13"/>
    </row>
    <row customHeight="true" ht="19" r="40">
      <c r="A40" s="2" t="str">
        <v>RIAU004011</v>
      </c>
      <c r="B40" s="9">
        <v>1224567891089</v>
      </c>
      <c r="C40" s="2" t="str">
        <v>Riau Candles (M)</v>
      </c>
      <c r="D40" s="2" t="str">
        <v>Island Coconut</v>
      </c>
      <c r="E40" s="5">
        <v>30</v>
      </c>
      <c r="F40" s="5">
        <v>13</v>
      </c>
      <c r="G40" s="1"/>
      <c r="H40" s="1"/>
      <c r="I40" s="1"/>
      <c r="J40" s="1"/>
      <c r="K40" s="1"/>
      <c r="L40" s="1"/>
      <c r="M40" s="45"/>
      <c r="N40" s="45"/>
      <c r="O40" s="45"/>
      <c r="P40" s="45"/>
      <c r="Q40" s="4"/>
      <c r="R40" s="4"/>
      <c r="S40" s="7"/>
      <c r="T40" s="13"/>
    </row>
    <row customHeight="true" ht="19" r="41">
      <c r="A41" s="2" t="str">
        <v>RIAU004014</v>
      </c>
      <c r="B41" s="9">
        <v>1224567891096</v>
      </c>
      <c r="C41" s="2" t="str">
        <v>Riau Candles (M)</v>
      </c>
      <c r="D41" s="2" t="str">
        <v>Island Driftwood</v>
      </c>
      <c r="E41" s="5">
        <v>30</v>
      </c>
      <c r="F41" s="5">
        <v>13</v>
      </c>
      <c r="G41" s="1"/>
      <c r="H41" s="1"/>
      <c r="I41" s="1"/>
      <c r="J41" s="1"/>
      <c r="K41" s="1"/>
      <c r="L41" s="1"/>
      <c r="M41" s="45"/>
      <c r="N41" s="45"/>
      <c r="O41" s="45"/>
      <c r="P41" s="45"/>
      <c r="Q41" s="4"/>
      <c r="R41" s="4"/>
      <c r="S41" s="7"/>
      <c r="T41" s="13"/>
    </row>
    <row customHeight="true" ht="19" r="42">
      <c r="A42" s="2" t="str">
        <v>RIAU004014</v>
      </c>
      <c r="B42" s="9">
        <v>1224567891119</v>
      </c>
      <c r="C42" s="2" t="str">
        <v>Riau Candles (M)</v>
      </c>
      <c r="D42" s="2" t="str">
        <v>Lavender</v>
      </c>
      <c r="E42" s="5">
        <v>30</v>
      </c>
      <c r="F42" s="5">
        <v>13</v>
      </c>
      <c r="G42" s="1"/>
      <c r="H42" s="1"/>
      <c r="I42" s="1"/>
      <c r="J42" s="1"/>
      <c r="K42" s="1"/>
      <c r="L42" s="1">
        <v>4</v>
      </c>
      <c r="M42" s="45"/>
      <c r="N42" s="45"/>
      <c r="O42" s="45"/>
      <c r="P42" s="45"/>
      <c r="Q42" s="4"/>
      <c r="R42" s="4">
        <v>4</v>
      </c>
      <c r="S42" s="7"/>
      <c r="T42" s="13"/>
    </row>
    <row customHeight="true" ht="19" r="43">
      <c r="A43" s="2" t="str">
        <v>RIAU005011</v>
      </c>
      <c r="B43" s="9">
        <v>1224567891126</v>
      </c>
      <c r="C43" s="2" t="str">
        <v>Riau Candles (M)</v>
      </c>
      <c r="D43" s="2" t="str">
        <v>Lemongrass Tea</v>
      </c>
      <c r="E43" s="5">
        <v>30</v>
      </c>
      <c r="F43" s="5">
        <v>13</v>
      </c>
      <c r="G43" s="1"/>
      <c r="H43" s="1"/>
      <c r="I43" s="1"/>
      <c r="J43" s="1"/>
      <c r="K43" s="1"/>
      <c r="L43" s="1">
        <v>4</v>
      </c>
      <c r="M43" s="45"/>
      <c r="N43" s="45"/>
      <c r="O43" s="45"/>
      <c r="P43" s="45"/>
      <c r="Q43" s="4"/>
      <c r="R43" s="4">
        <v>4</v>
      </c>
      <c r="S43" s="2"/>
      <c r="T43" s="13"/>
    </row>
    <row customHeight="true" ht="19" r="44">
      <c r="A44" s="2" t="str">
        <v>RIAU005016</v>
      </c>
      <c r="B44" s="9">
        <v>2502210909510</v>
      </c>
      <c r="C44" s="2" t="str">
        <v>Riau Candles (M)</v>
      </c>
      <c r="D44" s="2" t="str">
        <v>Matcha &amp; Bergamot</v>
      </c>
      <c r="E44" s="5">
        <v>30</v>
      </c>
      <c r="F44" s="5">
        <v>13</v>
      </c>
      <c r="G44" s="1">
        <v>6</v>
      </c>
      <c r="H44" s="1">
        <v>-1</v>
      </c>
      <c r="I44" s="1"/>
      <c r="J44" s="1">
        <v>-5</v>
      </c>
      <c r="K44" s="1"/>
      <c r="L44" s="1"/>
      <c r="M44" s="45"/>
      <c r="N44" s="45"/>
      <c r="O44" s="45"/>
      <c r="P44" s="45"/>
      <c r="Q44" s="4"/>
      <c r="R44" s="4"/>
      <c r="S44" s="7"/>
      <c r="T44" s="13"/>
    </row>
    <row customHeight="true" ht="19" r="45">
      <c r="A45" s="2" t="str">
        <v>RIAU005014</v>
      </c>
      <c r="B45" s="9">
        <v>1224567891133</v>
      </c>
      <c r="C45" s="2" t="str">
        <v>Riau Candles (M)</v>
      </c>
      <c r="D45" s="2" t="str">
        <v>Merry Mistletoe</v>
      </c>
      <c r="E45" s="5">
        <v>30</v>
      </c>
      <c r="F45" s="5">
        <v>13</v>
      </c>
      <c r="G45" s="1"/>
      <c r="H45" s="1"/>
      <c r="I45" s="1"/>
      <c r="J45" s="1"/>
      <c r="K45" s="1"/>
      <c r="L45" s="1"/>
      <c r="M45" s="45"/>
      <c r="N45" s="45"/>
      <c r="O45" s="45"/>
      <c r="P45" s="45"/>
      <c r="Q45" s="4"/>
      <c r="R45" s="4"/>
      <c r="S45" s="7"/>
      <c r="T45" s="13"/>
    </row>
    <row customHeight="true" ht="19" r="46">
      <c r="A46" s="2" t="str">
        <v>RIAU004015</v>
      </c>
      <c r="B46" s="9">
        <v>1224567891140</v>
      </c>
      <c r="C46" s="2" t="str">
        <v>Riau Candles (M)</v>
      </c>
      <c r="D46" s="2" t="str">
        <v>Mountain Rain</v>
      </c>
      <c r="E46" s="5">
        <v>30</v>
      </c>
      <c r="F46" s="5">
        <v>13</v>
      </c>
      <c r="G46" s="1"/>
      <c r="H46" s="1"/>
      <c r="I46" s="1"/>
      <c r="J46" s="1"/>
      <c r="K46" s="1"/>
      <c r="L46" s="1">
        <v>4</v>
      </c>
      <c r="M46" s="45"/>
      <c r="N46" s="45"/>
      <c r="O46" s="45"/>
      <c r="P46" s="45"/>
      <c r="Q46" s="4"/>
      <c r="R46" s="4">
        <v>4</v>
      </c>
      <c r="S46" s="7"/>
      <c r="T46" s="13"/>
    </row>
    <row customHeight="true" ht="19" r="47">
      <c r="A47" s="2"/>
      <c r="B47" s="9">
        <v>2601291128510</v>
      </c>
      <c r="C47" s="2" t="str">
        <v>Riau Candles (M)</v>
      </c>
      <c r="D47" s="2" t="str">
        <v>Patchouli Noir</v>
      </c>
      <c r="E47" s="5">
        <v>30</v>
      </c>
      <c r="F47" s="5">
        <v>13</v>
      </c>
      <c r="G47" s="1"/>
      <c r="H47" s="1"/>
      <c r="I47" s="1"/>
      <c r="J47" s="1"/>
      <c r="K47" s="1"/>
      <c r="L47" s="1">
        <v>4</v>
      </c>
      <c r="M47" s="45"/>
      <c r="N47" s="45"/>
      <c r="O47" s="45"/>
      <c r="P47" s="45"/>
      <c r="Q47" s="4"/>
      <c r="R47" s="4">
        <v>4</v>
      </c>
      <c r="S47" s="7"/>
      <c r="T47" s="13"/>
    </row>
    <row customHeight="true" ht="19" r="48">
      <c r="A48" s="2" t="str">
        <v>RIAU005015</v>
      </c>
      <c r="B48" s="9">
        <v>1224567891157</v>
      </c>
      <c r="C48" s="2" t="str">
        <v>Riau Candles (M)</v>
      </c>
      <c r="D48" s="2" t="str">
        <v>Sandalwood &amp; Citrus</v>
      </c>
      <c r="E48" s="5">
        <v>30</v>
      </c>
      <c r="F48" s="5">
        <v>13</v>
      </c>
      <c r="G48" s="1"/>
      <c r="H48" s="1"/>
      <c r="I48" s="1"/>
      <c r="J48" s="1"/>
      <c r="K48" s="1"/>
      <c r="L48" s="1"/>
      <c r="M48" s="45"/>
      <c r="N48" s="45"/>
      <c r="O48" s="45"/>
      <c r="P48" s="45"/>
      <c r="Q48" s="4"/>
      <c r="R48" s="4"/>
      <c r="S48" s="7"/>
      <c r="T48" s="13"/>
    </row>
    <row customHeight="true" ht="19" r="49">
      <c r="A49" s="2" t="str">
        <v>RIAU004016</v>
      </c>
      <c r="B49" s="9">
        <v>1224567891164</v>
      </c>
      <c r="C49" s="2" t="str">
        <v>Riau Candles (M)</v>
      </c>
      <c r="D49" s="2" t="str">
        <v>Spice Market</v>
      </c>
      <c r="E49" s="5">
        <v>30</v>
      </c>
      <c r="F49" s="5">
        <v>13</v>
      </c>
      <c r="G49" s="1"/>
      <c r="H49" s="1"/>
      <c r="I49" s="1"/>
      <c r="J49" s="1"/>
      <c r="K49" s="1"/>
      <c r="L49" s="1"/>
      <c r="M49" s="45"/>
      <c r="N49" s="45"/>
      <c r="O49" s="45"/>
      <c r="P49" s="45"/>
      <c r="Q49" s="4"/>
      <c r="R49" s="4"/>
      <c r="S49" s="7"/>
      <c r="T49" s="13"/>
    </row>
    <row customHeight="true" ht="19" r="50">
      <c r="A50" s="2" t="str">
        <v>RIAU004017</v>
      </c>
      <c r="B50" s="9">
        <v>2502210909428</v>
      </c>
      <c r="C50" s="2" t="str">
        <v>Riau Candles (M)</v>
      </c>
      <c r="D50" s="2" t="str">
        <v>Tonka &amp; Oud</v>
      </c>
      <c r="E50" s="5">
        <v>30</v>
      </c>
      <c r="F50" s="5">
        <v>13</v>
      </c>
      <c r="G50" s="1">
        <v>6</v>
      </c>
      <c r="H50" s="1">
        <v>-1</v>
      </c>
      <c r="I50" s="1"/>
      <c r="J50" s="1">
        <v>-3</v>
      </c>
      <c r="K50" s="1"/>
      <c r="L50" s="1">
        <v>4</v>
      </c>
      <c r="M50" s="45"/>
      <c r="N50" s="45"/>
      <c r="O50" s="45"/>
      <c r="P50" s="45"/>
      <c r="Q50" s="4"/>
      <c r="R50" s="4">
        <v>5</v>
      </c>
      <c r="S50" s="7"/>
      <c r="T50" s="13"/>
    </row>
    <row customHeight="true" ht="19" r="51">
      <c r="A51" s="2"/>
      <c r="B51" s="9">
        <v>1224567891171</v>
      </c>
      <c r="C51" s="2" t="str">
        <v>Riau Candles (M)</v>
      </c>
      <c r="D51" s="2" t="str">
        <v>Vanilla &amp; Spice</v>
      </c>
      <c r="E51" s="5">
        <v>30</v>
      </c>
      <c r="F51" s="5">
        <v>13</v>
      </c>
      <c r="G51" s="1"/>
      <c r="H51" s="1"/>
      <c r="I51" s="1"/>
      <c r="J51" s="1"/>
      <c r="K51" s="1"/>
      <c r="L51" s="1"/>
      <c r="M51" s="45"/>
      <c r="N51" s="45"/>
      <c r="O51" s="45"/>
      <c r="P51" s="45"/>
      <c r="Q51" s="4"/>
      <c r="R51" s="4"/>
      <c r="S51" s="2"/>
      <c r="T51" s="13"/>
    </row>
    <row customHeight="true" ht="19" r="52">
      <c r="A52" s="2"/>
      <c r="B52" s="9">
        <v>1224567891188</v>
      </c>
      <c r="C52" s="2" t="str">
        <v>Riau Candles (M)</v>
      </c>
      <c r="D52" s="2" t="str">
        <v>White Lily</v>
      </c>
      <c r="E52" s="5">
        <v>30</v>
      </c>
      <c r="F52" s="5">
        <v>13</v>
      </c>
      <c r="G52" s="1">
        <v>6</v>
      </c>
      <c r="H52" s="1">
        <v>-3</v>
      </c>
      <c r="I52" s="1"/>
      <c r="J52" s="1"/>
      <c r="K52" s="1"/>
      <c r="L52" s="1">
        <v>4</v>
      </c>
      <c r="M52" s="45"/>
      <c r="N52" s="45"/>
      <c r="O52" s="45"/>
      <c r="P52" s="45"/>
      <c r="Q52" s="4"/>
      <c r="R52" s="4">
        <v>4</v>
      </c>
      <c r="S52" s="7"/>
      <c r="T52" s="13"/>
    </row>
    <row customHeight="true" ht="19" r="53">
      <c r="A53" s="2" t="str">
        <v>RIAU004003</v>
      </c>
      <c r="B53" s="9">
        <v>1224567891195</v>
      </c>
      <c r="C53" s="2" t="str">
        <v>Riau Candles (M)</v>
      </c>
      <c r="D53" s="2" t="str">
        <v>Wild Rose</v>
      </c>
      <c r="E53" s="5">
        <v>30</v>
      </c>
      <c r="F53" s="5">
        <v>13</v>
      </c>
      <c r="G53" s="1"/>
      <c r="H53" s="1"/>
      <c r="I53" s="1"/>
      <c r="J53" s="1"/>
      <c r="K53" s="1"/>
      <c r="L53" s="1"/>
      <c r="M53" s="45"/>
      <c r="N53" s="45"/>
      <c r="O53" s="45"/>
      <c r="P53" s="45"/>
      <c r="Q53" s="4"/>
      <c r="R53" s="4"/>
      <c r="S53" s="7"/>
      <c r="T53" s="13"/>
    </row>
    <row customHeight="true" ht="19" r="54">
      <c r="A54" s="16"/>
      <c r="B54" s="16"/>
      <c r="C54" s="16"/>
      <c r="D54" s="16"/>
      <c r="E54" s="16"/>
      <c r="F54" s="16"/>
      <c r="G54" s="47">
        <f>sum(G29:G53)</f>
      </c>
      <c r="H54" s="47">
        <f>sum(H29:H53)</f>
      </c>
      <c r="I54" s="47">
        <f>sum(I29:I53)</f>
      </c>
      <c r="J54" s="47">
        <f>sum(J29:J53)</f>
      </c>
      <c r="K54" s="47">
        <f>sum(K29:K53)</f>
      </c>
      <c r="L54" s="47">
        <f>sum(L29:L53)</f>
      </c>
      <c r="M54" s="47">
        <f>sum(M29:M53)</f>
      </c>
      <c r="N54" s="47">
        <f>sum(N29:N53)</f>
      </c>
      <c r="O54" s="47">
        <f>sum(O29:O53)</f>
      </c>
      <c r="P54" s="47">
        <f>sum(P29:P53)</f>
      </c>
      <c r="Q54" s="47">
        <f>sum(Q29:Q53)</f>
      </c>
      <c r="R54" s="47">
        <f>sum(R29:R53)</f>
      </c>
      <c r="S54" s="16"/>
      <c r="T54" s="48"/>
    </row>
    <row customHeight="true" ht="19" r="55">
      <c r="A55" s="2" t="str">
        <v>RIAU001011</v>
      </c>
      <c r="B55" s="9">
        <v>1234567891019</v>
      </c>
      <c r="C55" s="2" t="str">
        <v>Riau Candles (S)</v>
      </c>
      <c r="D55" s="2" t="str">
        <v>Amber &amp; Ash</v>
      </c>
      <c r="E55" s="5">
        <v>18</v>
      </c>
      <c r="F55" s="5">
        <v>6.5</v>
      </c>
      <c r="G55" s="1">
        <v>10</v>
      </c>
      <c r="H55" s="1">
        <v>-9</v>
      </c>
      <c r="I55" s="1"/>
      <c r="J55" s="1"/>
      <c r="K55" s="1">
        <v>-1</v>
      </c>
      <c r="L55" s="1">
        <v>4</v>
      </c>
      <c r="M55" s="45"/>
      <c r="N55" s="45"/>
      <c r="O55" s="45"/>
      <c r="P55" s="45"/>
      <c r="Q55" s="4"/>
      <c r="R55" s="4">
        <v>4</v>
      </c>
      <c r="S55" s="7"/>
      <c r="T55" s="25"/>
    </row>
    <row customHeight="true" ht="19" r="56">
      <c r="A56" s="2"/>
      <c r="B56" s="9">
        <v>2310011106447</v>
      </c>
      <c r="C56" s="2" t="str">
        <v>Riau Candles (S)</v>
      </c>
      <c r="D56" s="2" t="str">
        <v>Apple Blossom</v>
      </c>
      <c r="E56" s="5">
        <v>18</v>
      </c>
      <c r="F56" s="5">
        <v>6.5</v>
      </c>
      <c r="G56" s="1"/>
      <c r="H56" s="1"/>
      <c r="I56" s="1"/>
      <c r="J56" s="1"/>
      <c r="K56" s="1"/>
      <c r="L56" s="1"/>
      <c r="M56" s="45"/>
      <c r="N56" s="45"/>
      <c r="O56" s="45"/>
      <c r="P56" s="45"/>
      <c r="Q56" s="4"/>
      <c r="R56" s="4"/>
      <c r="S56" s="7"/>
      <c r="T56" s="13"/>
    </row>
    <row customHeight="true" ht="19" r="57">
      <c r="A57" s="2" t="str">
        <v>RIAU001002</v>
      </c>
      <c r="B57" s="9">
        <v>1234567891026</v>
      </c>
      <c r="C57" s="2" t="str">
        <v>Riau Candles (S)</v>
      </c>
      <c r="D57" s="2" t="str">
        <v>Brown Sugar &amp; Fig</v>
      </c>
      <c r="E57" s="5">
        <v>18</v>
      </c>
      <c r="F57" s="5">
        <v>6.5</v>
      </c>
      <c r="G57" s="1"/>
      <c r="H57" s="1"/>
      <c r="I57" s="1"/>
      <c r="J57" s="1"/>
      <c r="K57" s="1"/>
      <c r="L57" s="1"/>
      <c r="M57" s="45"/>
      <c r="N57" s="45"/>
      <c r="O57" s="45"/>
      <c r="P57" s="45"/>
      <c r="Q57" s="4"/>
      <c r="R57" s="4"/>
      <c r="S57" s="7"/>
      <c r="T57" s="13"/>
    </row>
    <row customHeight="true" ht="19" r="58">
      <c r="A58" s="2" t="str">
        <v>RIAU001017</v>
      </c>
      <c r="B58" s="9">
        <v>1234567891033</v>
      </c>
      <c r="C58" s="2" t="str">
        <v>Riau Candles (S)</v>
      </c>
      <c r="D58" s="2" t="str">
        <v>Christmas Tree</v>
      </c>
      <c r="E58" s="5">
        <v>18</v>
      </c>
      <c r="F58" s="5">
        <v>6.5</v>
      </c>
      <c r="G58" s="1"/>
      <c r="H58" s="1"/>
      <c r="I58" s="1"/>
      <c r="J58" s="1"/>
      <c r="K58" s="1"/>
      <c r="L58" s="1"/>
      <c r="M58" s="45"/>
      <c r="N58" s="45"/>
      <c r="O58" s="45"/>
      <c r="P58" s="45"/>
      <c r="Q58" s="4"/>
      <c r="R58" s="4"/>
      <c r="S58" s="7"/>
      <c r="T58" s="13"/>
    </row>
    <row customHeight="true" ht="19" r="59">
      <c r="A59" s="2" t="str">
        <v>RIAU001016</v>
      </c>
      <c r="B59" s="9">
        <v>1234567891040</v>
      </c>
      <c r="C59" s="2" t="str">
        <v>Riau Candles (S)</v>
      </c>
      <c r="D59" s="2" t="str">
        <v>Clean Cotton</v>
      </c>
      <c r="E59" s="5">
        <v>18</v>
      </c>
      <c r="F59" s="5">
        <v>6.5</v>
      </c>
      <c r="G59" s="1"/>
      <c r="H59" s="1"/>
      <c r="I59" s="1"/>
      <c r="J59" s="1"/>
      <c r="K59" s="1"/>
      <c r="L59" s="1"/>
      <c r="M59" s="45"/>
      <c r="N59" s="45"/>
      <c r="O59" s="45"/>
      <c r="P59" s="45"/>
      <c r="Q59" s="4"/>
      <c r="R59" s="4"/>
      <c r="S59" s="7"/>
      <c r="T59" s="13"/>
    </row>
    <row customHeight="true" ht="19" r="60">
      <c r="A60" s="2"/>
      <c r="B60" s="9"/>
      <c r="C60" s="2" t="str">
        <v>Riau Candles (S)</v>
      </c>
      <c r="D60" s="2" t="str">
        <v>Coffee &amp; Cream</v>
      </c>
      <c r="E60" s="5">
        <v>18</v>
      </c>
      <c r="F60" s="5">
        <v>6.5</v>
      </c>
      <c r="G60" s="1"/>
      <c r="H60" s="1"/>
      <c r="I60" s="1"/>
      <c r="J60" s="1"/>
      <c r="K60" s="1"/>
      <c r="L60" s="1"/>
      <c r="M60" s="45"/>
      <c r="N60" s="45"/>
      <c r="O60" s="45"/>
      <c r="P60" s="45"/>
      <c r="Q60" s="4"/>
      <c r="R60" s="4"/>
      <c r="S60" s="7"/>
      <c r="T60" s="13"/>
    </row>
    <row customHeight="true" ht="19" r="61">
      <c r="A61" s="2"/>
      <c r="B61" s="9">
        <v>2512161056027</v>
      </c>
      <c r="C61" s="2" t="str">
        <v>Riau Candles (S)</v>
      </c>
      <c r="D61" s="2" t="str">
        <v>Daydream</v>
      </c>
      <c r="E61" s="5">
        <v>18</v>
      </c>
      <c r="F61" s="5">
        <v>6.5</v>
      </c>
      <c r="G61" s="1"/>
      <c r="H61" s="1"/>
      <c r="I61" s="1"/>
      <c r="J61" s="1"/>
      <c r="K61" s="1"/>
      <c r="L61" s="1"/>
      <c r="M61" s="45"/>
      <c r="N61" s="45"/>
      <c r="O61" s="45"/>
      <c r="P61" s="45"/>
      <c r="Q61" s="4"/>
      <c r="R61" s="4"/>
      <c r="S61" s="7"/>
      <c r="T61" s="13"/>
    </row>
    <row customHeight="true" ht="19" r="62">
      <c r="A62" s="2"/>
      <c r="B62" s="7">
        <v>2403121717327</v>
      </c>
      <c r="C62" s="2" t="str">
        <v>Riau Candles (S)</v>
      </c>
      <c r="D62" s="2" t="str">
        <v>Desert Sunset</v>
      </c>
      <c r="E62" s="5">
        <v>18</v>
      </c>
      <c r="F62" s="5">
        <v>6.5</v>
      </c>
      <c r="G62" s="1"/>
      <c r="H62" s="1"/>
      <c r="I62" s="1"/>
      <c r="J62" s="1"/>
      <c r="K62" s="1"/>
      <c r="L62" s="1"/>
      <c r="M62" s="45"/>
      <c r="N62" s="45"/>
      <c r="O62" s="45"/>
      <c r="P62" s="45"/>
      <c r="Q62" s="4"/>
      <c r="R62" s="4"/>
      <c r="S62" s="7"/>
      <c r="T62" s="13"/>
    </row>
    <row customHeight="true" ht="19" r="63">
      <c r="A63" s="2" t="str">
        <v>RIAU001010001</v>
      </c>
      <c r="B63" s="9">
        <v>1234567891057</v>
      </c>
      <c r="C63" s="2" t="str">
        <v>Riau Candles (S)</v>
      </c>
      <c r="D63" s="2" t="str">
        <v>Eucalyptus &amp; Mint</v>
      </c>
      <c r="E63" s="5">
        <v>18</v>
      </c>
      <c r="F63" s="5">
        <v>6.5</v>
      </c>
      <c r="G63" s="1"/>
      <c r="H63" s="1"/>
      <c r="I63" s="1"/>
      <c r="J63" s="1"/>
      <c r="K63" s="1"/>
      <c r="L63" s="1">
        <v>4</v>
      </c>
      <c r="M63" s="45"/>
      <c r="N63" s="45"/>
      <c r="O63" s="45"/>
      <c r="P63" s="45"/>
      <c r="Q63" s="4"/>
      <c r="R63" s="4">
        <v>4</v>
      </c>
      <c r="S63" s="7"/>
      <c r="T63" s="13"/>
    </row>
    <row customHeight="true" ht="19" r="64">
      <c r="A64" s="2" t="str">
        <v>RIAU001009</v>
      </c>
      <c r="B64" s="9">
        <v>1234567891064</v>
      </c>
      <c r="C64" s="2" t="str">
        <v>Riau Candles (S)</v>
      </c>
      <c r="D64" s="2" t="str">
        <v>Forest Berry</v>
      </c>
      <c r="E64" s="5">
        <v>18</v>
      </c>
      <c r="F64" s="5">
        <v>6.5</v>
      </c>
      <c r="G64" s="1"/>
      <c r="H64" s="1"/>
      <c r="I64" s="1"/>
      <c r="J64" s="1"/>
      <c r="K64" s="1"/>
      <c r="L64" s="1"/>
      <c r="M64" s="45"/>
      <c r="N64" s="45"/>
      <c r="O64" s="45"/>
      <c r="P64" s="45"/>
      <c r="Q64" s="4"/>
      <c r="R64" s="4"/>
      <c r="S64" s="7"/>
      <c r="T64" s="13"/>
    </row>
    <row customHeight="true" ht="19" r="65">
      <c r="A65" s="2"/>
      <c r="B65" s="9">
        <v>2210201233253</v>
      </c>
      <c r="C65" s="2" t="str">
        <v>Riau Candles (S)</v>
      </c>
      <c r="D65" s="2" t="str">
        <v>French Vanilla</v>
      </c>
      <c r="E65" s="5">
        <v>18</v>
      </c>
      <c r="F65" s="5">
        <v>6.5</v>
      </c>
      <c r="G65" s="1"/>
      <c r="H65" s="1"/>
      <c r="I65" s="1"/>
      <c r="J65" s="1"/>
      <c r="K65" s="1"/>
      <c r="L65" s="1"/>
      <c r="M65" s="45"/>
      <c r="N65" s="45"/>
      <c r="O65" s="45"/>
      <c r="P65" s="45"/>
      <c r="Q65" s="4"/>
      <c r="R65" s="4"/>
      <c r="S65" s="7"/>
      <c r="T65" s="13"/>
    </row>
    <row customHeight="true" ht="19" r="66">
      <c r="A66" s="2" t="str">
        <v>RIAU001006</v>
      </c>
      <c r="B66" s="9">
        <v>1234567891071</v>
      </c>
      <c r="C66" s="2" t="str">
        <v>Riau Candles (S)</v>
      </c>
      <c r="D66" s="2" t="str">
        <v>Honeysuckle Jasmine</v>
      </c>
      <c r="E66" s="5">
        <v>18</v>
      </c>
      <c r="F66" s="5">
        <v>6.5</v>
      </c>
      <c r="G66" s="1"/>
      <c r="H66" s="1"/>
      <c r="I66" s="1"/>
      <c r="J66" s="1"/>
      <c r="K66" s="1"/>
      <c r="L66" s="1"/>
      <c r="M66" s="45"/>
      <c r="N66" s="45"/>
      <c r="O66" s="45"/>
      <c r="P66" s="45"/>
      <c r="Q66" s="4"/>
      <c r="R66" s="4"/>
      <c r="S66" s="7"/>
      <c r="T66" s="13"/>
    </row>
    <row customHeight="true" ht="19" r="67">
      <c r="A67" s="2" t="str">
        <v>RIAU001008</v>
      </c>
      <c r="B67" s="9">
        <v>1234567891088</v>
      </c>
      <c r="C67" s="2" t="str">
        <v>Riau Candles (S)</v>
      </c>
      <c r="D67" s="2" t="str">
        <v>Island Coconut</v>
      </c>
      <c r="E67" s="5">
        <v>18</v>
      </c>
      <c r="F67" s="5">
        <v>6.5</v>
      </c>
      <c r="G67" s="1"/>
      <c r="H67" s="1"/>
      <c r="I67" s="1"/>
      <c r="J67" s="1"/>
      <c r="K67" s="1"/>
      <c r="L67" s="1"/>
      <c r="M67" s="45"/>
      <c r="N67" s="45"/>
      <c r="O67" s="45"/>
      <c r="P67" s="45"/>
      <c r="Q67" s="4"/>
      <c r="R67" s="4"/>
      <c r="S67" s="7"/>
      <c r="T67" s="13"/>
    </row>
    <row customHeight="true" ht="19" r="68">
      <c r="A68" s="2"/>
      <c r="B68" s="9">
        <v>1234567891095</v>
      </c>
      <c r="C68" s="2" t="str">
        <v>Riau Candles (S)</v>
      </c>
      <c r="D68" s="2" t="str">
        <v>Island Driftwood</v>
      </c>
      <c r="E68" s="5">
        <v>18</v>
      </c>
      <c r="F68" s="5">
        <v>6.5</v>
      </c>
      <c r="G68" s="1"/>
      <c r="H68" s="1"/>
      <c r="I68" s="1"/>
      <c r="J68" s="1"/>
      <c r="K68" s="1"/>
      <c r="L68" s="1"/>
      <c r="M68" s="45"/>
      <c r="N68" s="45"/>
      <c r="O68" s="45"/>
      <c r="P68" s="45"/>
      <c r="Q68" s="4"/>
      <c r="R68" s="4"/>
      <c r="S68" s="7"/>
      <c r="T68" s="13"/>
    </row>
    <row customHeight="true" ht="19" r="69">
      <c r="A69" s="2"/>
      <c r="B69" s="9">
        <v>1234567891118</v>
      </c>
      <c r="C69" s="2" t="str">
        <v>Riau Candles (S)</v>
      </c>
      <c r="D69" s="2" t="str">
        <v>Lavender</v>
      </c>
      <c r="E69" s="5">
        <v>18</v>
      </c>
      <c r="F69" s="5">
        <v>6.5</v>
      </c>
      <c r="G69" s="1"/>
      <c r="H69" s="1"/>
      <c r="I69" s="1"/>
      <c r="J69" s="1"/>
      <c r="K69" s="1"/>
      <c r="L69" s="1">
        <v>4</v>
      </c>
      <c r="M69" s="45"/>
      <c r="N69" s="45"/>
      <c r="O69" s="45"/>
      <c r="P69" s="45"/>
      <c r="Q69" s="4"/>
      <c r="R69" s="4">
        <v>4</v>
      </c>
      <c r="S69" s="7"/>
      <c r="T69" s="13"/>
    </row>
    <row customHeight="true" ht="19" r="70">
      <c r="A70" s="2" t="str">
        <v>RIAU001003</v>
      </c>
      <c r="B70" s="9">
        <v>1234567891125</v>
      </c>
      <c r="C70" s="2" t="str">
        <v>Riau Candles (S)</v>
      </c>
      <c r="D70" s="2" t="str">
        <v>Lemongrass Tea</v>
      </c>
      <c r="E70" s="5">
        <v>18</v>
      </c>
      <c r="F70" s="5">
        <v>6.5</v>
      </c>
      <c r="G70" s="1"/>
      <c r="H70" s="1"/>
      <c r="I70" s="1"/>
      <c r="J70" s="1"/>
      <c r="K70" s="1"/>
      <c r="L70" s="1">
        <v>4</v>
      </c>
      <c r="M70" s="45"/>
      <c r="N70" s="45"/>
      <c r="O70" s="45">
        <v>-1</v>
      </c>
      <c r="P70" s="45"/>
      <c r="Q70" s="4"/>
      <c r="R70" s="4">
        <v>3</v>
      </c>
      <c r="S70" s="7"/>
      <c r="T70" s="13"/>
    </row>
    <row customHeight="true" ht="19" r="71">
      <c r="A71" s="2" t="str">
        <v>RIAU001018</v>
      </c>
      <c r="B71" s="9">
        <v>2502210910097</v>
      </c>
      <c r="C71" s="2" t="str">
        <v>Riau Candles (S)</v>
      </c>
      <c r="D71" s="2" t="str">
        <v>Matcha &amp; Bergamot</v>
      </c>
      <c r="E71" s="5">
        <v>18</v>
      </c>
      <c r="F71" s="5">
        <v>6.5</v>
      </c>
      <c r="G71" s="1">
        <v>10</v>
      </c>
      <c r="H71" s="1">
        <v>-3</v>
      </c>
      <c r="I71" s="1"/>
      <c r="J71" s="1">
        <v>-1</v>
      </c>
      <c r="K71" s="1"/>
      <c r="L71" s="1"/>
      <c r="M71" s="45"/>
      <c r="N71" s="45"/>
      <c r="O71" s="45"/>
      <c r="P71" s="45"/>
      <c r="Q71" s="4"/>
      <c r="R71" s="4"/>
      <c r="S71" s="7"/>
      <c r="T71" s="13"/>
    </row>
    <row customHeight="true" ht="19" r="72">
      <c r="A72" s="2" t="str">
        <v>RIAU001001</v>
      </c>
      <c r="B72" s="9">
        <v>1234567891132</v>
      </c>
      <c r="C72" s="2" t="str">
        <v>Riau Candles (S)</v>
      </c>
      <c r="D72" s="2" t="str">
        <v>Merry Mistletoe</v>
      </c>
      <c r="E72" s="5">
        <v>18</v>
      </c>
      <c r="F72" s="5">
        <v>6.5</v>
      </c>
      <c r="G72" s="1"/>
      <c r="H72" s="1"/>
      <c r="I72" s="1"/>
      <c r="J72" s="1"/>
      <c r="K72" s="1"/>
      <c r="L72" s="1"/>
      <c r="M72" s="45"/>
      <c r="N72" s="45"/>
      <c r="O72" s="45"/>
      <c r="P72" s="45"/>
      <c r="Q72" s="4"/>
      <c r="R72" s="4"/>
      <c r="S72" s="7"/>
      <c r="T72" s="13"/>
    </row>
    <row customHeight="true" ht="19" r="73">
      <c r="A73" s="2" t="str">
        <v>RIAU001012</v>
      </c>
      <c r="B73" s="9">
        <v>1234567891149</v>
      </c>
      <c r="C73" s="2" t="str">
        <v>Riau Candles (S)</v>
      </c>
      <c r="D73" s="2" t="str">
        <v>Mountain Rain</v>
      </c>
      <c r="E73" s="5">
        <v>18</v>
      </c>
      <c r="F73" s="5">
        <v>6.5</v>
      </c>
      <c r="G73" s="1"/>
      <c r="H73" s="1"/>
      <c r="I73" s="1"/>
      <c r="J73" s="1"/>
      <c r="K73" s="1"/>
      <c r="L73" s="1">
        <v>4</v>
      </c>
      <c r="M73" s="45"/>
      <c r="N73" s="45">
        <v>-1</v>
      </c>
      <c r="O73" s="45">
        <v>-1</v>
      </c>
      <c r="P73" s="45"/>
      <c r="Q73" s="4"/>
      <c r="R73" s="4">
        <v>2</v>
      </c>
      <c r="S73" s="7"/>
      <c r="T73" s="13"/>
    </row>
    <row customHeight="true" ht="19" r="74">
      <c r="A74" s="2"/>
      <c r="B74" s="9">
        <v>2601291129258</v>
      </c>
      <c r="C74" s="2" t="str">
        <v>Riau Candles (S)</v>
      </c>
      <c r="D74" s="2" t="str">
        <v>Patchouli Noir</v>
      </c>
      <c r="E74" s="5">
        <v>18</v>
      </c>
      <c r="F74" s="5">
        <v>6.5</v>
      </c>
      <c r="G74" s="1"/>
      <c r="H74" s="1"/>
      <c r="I74" s="1"/>
      <c r="J74" s="1"/>
      <c r="K74" s="1"/>
      <c r="L74" s="1">
        <v>4</v>
      </c>
      <c r="M74" s="45"/>
      <c r="N74" s="45"/>
      <c r="O74" s="45">
        <v>-1</v>
      </c>
      <c r="P74" s="45"/>
      <c r="Q74" s="4"/>
      <c r="R74" s="4">
        <v>3</v>
      </c>
      <c r="S74" s="7"/>
      <c r="T74" s="13"/>
    </row>
    <row customHeight="true" ht="19" r="75">
      <c r="A75" s="2" t="str">
        <v>RIAU001019</v>
      </c>
      <c r="B75" s="9">
        <v>1234567891156</v>
      </c>
      <c r="C75" s="2" t="str">
        <v>Riau Candles (S)</v>
      </c>
      <c r="D75" s="2" t="str">
        <v>Sandalwood &amp; Citrus</v>
      </c>
      <c r="E75" s="5">
        <v>18</v>
      </c>
      <c r="F75" s="5">
        <v>6.5</v>
      </c>
      <c r="G75" s="1"/>
      <c r="H75" s="1"/>
      <c r="I75" s="1"/>
      <c r="J75" s="1"/>
      <c r="K75" s="1"/>
      <c r="L75" s="1"/>
      <c r="M75" s="45"/>
      <c r="N75" s="45"/>
      <c r="O75" s="45"/>
      <c r="P75" s="45"/>
      <c r="Q75" s="4"/>
      <c r="R75" s="4"/>
      <c r="S75" s="7"/>
      <c r="T75" s="13"/>
    </row>
    <row customHeight="true" ht="19" r="76">
      <c r="A76" s="2" t="str">
        <v>RIAU001013</v>
      </c>
      <c r="B76" s="9">
        <v>1234567891163</v>
      </c>
      <c r="C76" s="2" t="str">
        <v>Riau Candles (S)</v>
      </c>
      <c r="D76" s="2" t="str">
        <v>Spice Market</v>
      </c>
      <c r="E76" s="5">
        <v>18</v>
      </c>
      <c r="F76" s="5">
        <v>6.5</v>
      </c>
      <c r="G76" s="1"/>
      <c r="H76" s="1"/>
      <c r="I76" s="1"/>
      <c r="J76" s="1"/>
      <c r="K76" s="1"/>
      <c r="L76" s="1"/>
      <c r="M76" s="45"/>
      <c r="N76" s="45"/>
      <c r="O76" s="45"/>
      <c r="P76" s="45"/>
      <c r="Q76" s="4"/>
      <c r="R76" s="4"/>
      <c r="S76" s="7"/>
      <c r="T76" s="13"/>
    </row>
    <row customHeight="true" ht="19" r="77">
      <c r="A77" s="2"/>
      <c r="B77" s="9">
        <v>2502210910035</v>
      </c>
      <c r="C77" s="2" t="str">
        <v>Riau Candles (S)</v>
      </c>
      <c r="D77" s="2" t="str">
        <v>Tonka &amp; Oud</v>
      </c>
      <c r="E77" s="5">
        <v>18</v>
      </c>
      <c r="F77" s="5">
        <v>6.5</v>
      </c>
      <c r="G77" s="1">
        <v>10</v>
      </c>
      <c r="H77" s="1">
        <v>-9</v>
      </c>
      <c r="I77" s="1"/>
      <c r="J77" s="1"/>
      <c r="K77" s="1"/>
      <c r="L77" s="1">
        <v>4</v>
      </c>
      <c r="M77" s="45"/>
      <c r="N77" s="45"/>
      <c r="O77" s="45"/>
      <c r="P77" s="45"/>
      <c r="Q77" s="4"/>
      <c r="R77" s="4">
        <v>4</v>
      </c>
      <c r="S77" s="7"/>
      <c r="T77" s="13"/>
    </row>
    <row customHeight="true" ht="19" r="78">
      <c r="A78" s="2"/>
      <c r="B78" s="9">
        <v>1234567891170</v>
      </c>
      <c r="C78" s="2" t="str">
        <v>Riau Candles (S)</v>
      </c>
      <c r="D78" s="2" t="str">
        <v>Vanilla &amp; Spice</v>
      </c>
      <c r="E78" s="5">
        <v>18</v>
      </c>
      <c r="F78" s="5">
        <v>6.5</v>
      </c>
      <c r="G78" s="1"/>
      <c r="H78" s="1"/>
      <c r="I78" s="1"/>
      <c r="J78" s="1"/>
      <c r="K78" s="1"/>
      <c r="L78" s="1"/>
      <c r="M78" s="45"/>
      <c r="N78" s="45"/>
      <c r="O78" s="45"/>
      <c r="P78" s="45"/>
      <c r="Q78" s="4"/>
      <c r="R78" s="4"/>
      <c r="S78" s="7"/>
      <c r="T78" s="13"/>
    </row>
    <row customHeight="true" ht="19" r="79">
      <c r="A79" s="2"/>
      <c r="B79" s="9">
        <v>2310011107482</v>
      </c>
      <c r="C79" s="2" t="str">
        <v>Riau Candles (S)</v>
      </c>
      <c r="D79" s="2" t="str">
        <v>Whiskey River</v>
      </c>
      <c r="E79" s="5">
        <v>18</v>
      </c>
      <c r="F79" s="5">
        <v>6.5</v>
      </c>
      <c r="G79" s="1"/>
      <c r="H79" s="1"/>
      <c r="I79" s="1"/>
      <c r="J79" s="1"/>
      <c r="K79" s="1"/>
      <c r="L79" s="1"/>
      <c r="M79" s="45"/>
      <c r="N79" s="45"/>
      <c r="O79" s="45"/>
      <c r="P79" s="45"/>
      <c r="Q79" s="4"/>
      <c r="R79" s="4"/>
      <c r="S79" s="7"/>
      <c r="T79" s="13"/>
    </row>
    <row customHeight="true" ht="19" r="80">
      <c r="A80" s="2" t="str">
        <v>RIAU001015</v>
      </c>
      <c r="B80" s="9">
        <v>1234567891187</v>
      </c>
      <c r="C80" s="2" t="str">
        <v>Riau Candles (S)</v>
      </c>
      <c r="D80" s="2" t="str">
        <v>White Lily</v>
      </c>
      <c r="E80" s="5">
        <v>18</v>
      </c>
      <c r="F80" s="5">
        <v>6.5</v>
      </c>
      <c r="G80" s="1">
        <v>10</v>
      </c>
      <c r="H80" s="1">
        <v>-7</v>
      </c>
      <c r="I80" s="1"/>
      <c r="J80" s="1"/>
      <c r="K80" s="1"/>
      <c r="L80" s="1">
        <v>4</v>
      </c>
      <c r="M80" s="45"/>
      <c r="N80" s="45">
        <v>-2</v>
      </c>
      <c r="O80" s="45"/>
      <c r="P80" s="45"/>
      <c r="Q80" s="4"/>
      <c r="R80" s="4">
        <v>3</v>
      </c>
      <c r="S80" s="7"/>
      <c r="T80" s="13"/>
    </row>
    <row customHeight="true" ht="19" r="81">
      <c r="A81" s="2" t="str">
        <v>RIAU001005</v>
      </c>
      <c r="B81" s="9" t="str">
        <v>1234567891194</v>
      </c>
      <c r="C81" s="2" t="str">
        <v>Riau Candles (S)</v>
      </c>
      <c r="D81" s="2" t="str">
        <v>Wild Rose</v>
      </c>
      <c r="E81" s="5" t="str">
        <v>$18.00</v>
      </c>
      <c r="F81" s="5" t="str">
        <v>$6.50</v>
      </c>
      <c r="G81" s="1"/>
      <c r="H81" s="4"/>
      <c r="I81" s="4"/>
      <c r="J81" s="4"/>
      <c r="K81" s="4"/>
      <c r="L81" s="4"/>
      <c r="M81" s="49"/>
      <c r="N81" s="49"/>
      <c r="O81" s="49"/>
      <c r="P81" s="49"/>
      <c r="Q81" s="4"/>
      <c r="R81" s="4"/>
      <c r="S81" s="7"/>
      <c r="T81" s="13"/>
    </row>
    <row customHeight="true" ht="260" r="82">
      <c r="A82" s="23"/>
      <c r="B82" s="25"/>
      <c r="C82" s="23"/>
      <c r="D82" s="23"/>
      <c r="E82" s="26"/>
      <c r="F82" s="26"/>
      <c r="G82" s="24"/>
      <c r="H82" s="14"/>
      <c r="I82" s="14"/>
      <c r="J82" s="14"/>
      <c r="K82" s="14"/>
      <c r="L82" s="14"/>
      <c r="M82" s="50"/>
      <c r="N82" s="50" t="str">
        <v>Feb26 $273 + Mar26 $214.50 =$487.50</v>
      </c>
      <c r="O82" s="50" t="str">
        <v>Feb26 $273 + Mar26 $214.50 =$487.50</v>
      </c>
      <c r="P82" s="50"/>
      <c r="Q82" s="14"/>
      <c r="R82" s="14"/>
      <c r="S82" s="12"/>
      <c r="T82" s="23"/>
    </row>
    <row customHeight="true" ht="17" r="83">
      <c r="A83" s="13"/>
      <c r="B83" s="12"/>
      <c r="C83" s="13"/>
      <c r="D83" s="13"/>
      <c r="E83" s="15"/>
      <c r="F83" s="15"/>
      <c r="G83" s="10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2"/>
      <c r="T83" s="13"/>
    </row>
    <row customHeight="true" ht="17" r="84">
      <c r="A84" s="13"/>
      <c r="B84" s="12"/>
      <c r="C84" s="13"/>
      <c r="D84" s="13"/>
      <c r="E84" s="15"/>
      <c r="F84" s="15"/>
      <c r="G84" s="10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2"/>
      <c r="T84" s="13"/>
    </row>
    <row customHeight="true" ht="17" r="85">
      <c r="A85" s="13"/>
      <c r="B85" s="12"/>
      <c r="C85" s="13"/>
      <c r="D85" s="13"/>
      <c r="E85" s="15"/>
      <c r="F85" s="15"/>
      <c r="G85" s="10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2"/>
      <c r="T85" s="13"/>
    </row>
    <row customHeight="true" ht="17" r="86">
      <c r="A86" s="13"/>
      <c r="B86" s="12"/>
      <c r="C86" s="13"/>
      <c r="D86" s="13"/>
      <c r="E86" s="15"/>
      <c r="F86" s="15"/>
      <c r="G86" s="10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2"/>
      <c r="T86" s="13"/>
    </row>
    <row customHeight="true" ht="17" r="87">
      <c r="A87" s="13"/>
      <c r="B87" s="12"/>
      <c r="C87" s="13"/>
      <c r="D87" s="13"/>
      <c r="E87" s="15"/>
      <c r="F87" s="15"/>
      <c r="G87" s="10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2"/>
      <c r="T87" s="13"/>
    </row>
    <row customHeight="true" ht="17" r="88">
      <c r="A88" s="13"/>
      <c r="B88" s="12"/>
      <c r="C88" s="13"/>
      <c r="D88" s="13"/>
      <c r="E88" s="15"/>
      <c r="F88" s="15"/>
      <c r="G88" s="10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2"/>
      <c r="T88" s="13"/>
    </row>
    <row customHeight="true" ht="17" r="89">
      <c r="A89" s="13"/>
      <c r="B89" s="12"/>
      <c r="C89" s="13"/>
      <c r="D89" s="13"/>
      <c r="E89" s="15"/>
      <c r="F89" s="15"/>
      <c r="G89" s="10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2"/>
      <c r="T89" s="13"/>
    </row>
    <row customHeight="true" ht="17" r="90">
      <c r="A90" s="13"/>
      <c r="B90" s="12"/>
      <c r="C90" s="13"/>
      <c r="D90" s="13"/>
      <c r="E90" s="15"/>
      <c r="F90" s="15"/>
      <c r="G90" s="10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2"/>
      <c r="T90" s="13"/>
    </row>
    <row customHeight="true" ht="17" r="91">
      <c r="A91" s="13"/>
      <c r="B91" s="12"/>
      <c r="C91" s="13"/>
      <c r="D91" s="13"/>
      <c r="E91" s="15"/>
      <c r="F91" s="15"/>
      <c r="G91" s="10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2"/>
      <c r="T91" s="13"/>
    </row>
    <row customHeight="true" ht="17" r="92">
      <c r="A92" s="13"/>
      <c r="B92" s="12"/>
      <c r="C92" s="13"/>
      <c r="D92" s="13"/>
      <c r="E92" s="15"/>
      <c r="F92" s="15"/>
      <c r="G92" s="10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2"/>
      <c r="T92" s="13"/>
    </row>
    <row customHeight="true" ht="17" r="93">
      <c r="A93" s="13"/>
      <c r="B93" s="12"/>
      <c r="C93" s="13"/>
      <c r="D93" s="13"/>
      <c r="E93" s="15"/>
      <c r="F93" s="15"/>
      <c r="G93" s="10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2"/>
      <c r="T93" s="13"/>
    </row>
    <row customHeight="true" ht="17" r="94">
      <c r="A94" s="13"/>
      <c r="B94" s="12"/>
      <c r="C94" s="13"/>
      <c r="D94" s="13"/>
      <c r="E94" s="15"/>
      <c r="F94" s="15"/>
      <c r="G94" s="10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2"/>
      <c r="T94" s="13"/>
    </row>
    <row customHeight="true" ht="17" r="95">
      <c r="A95" s="13"/>
      <c r="B95" s="12"/>
      <c r="C95" s="13"/>
      <c r="D95" s="13"/>
      <c r="E95" s="15"/>
      <c r="F95" s="15"/>
      <c r="G95" s="10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2"/>
      <c r="T95" s="13"/>
    </row>
    <row customHeight="true" ht="17" r="96">
      <c r="A96" s="13"/>
      <c r="B96" s="12"/>
      <c r="C96" s="13"/>
      <c r="D96" s="13"/>
      <c r="E96" s="15"/>
      <c r="F96" s="15"/>
      <c r="G96" s="10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2"/>
      <c r="T96" s="13"/>
    </row>
    <row customHeight="true" ht="17" r="97">
      <c r="A97" s="13"/>
      <c r="B97" s="12"/>
      <c r="C97" s="13"/>
      <c r="D97" s="13"/>
      <c r="E97" s="15"/>
      <c r="F97" s="15"/>
      <c r="G97" s="10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2"/>
      <c r="T97" s="13"/>
    </row>
    <row customHeight="true" ht="17" r="98">
      <c r="A98" s="13"/>
      <c r="B98" s="12"/>
      <c r="C98" s="13"/>
      <c r="D98" s="13"/>
      <c r="E98" s="15"/>
      <c r="F98" s="15"/>
      <c r="G98" s="10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2"/>
      <c r="T98" s="13"/>
    </row>
    <row customHeight="true" ht="17" r="99">
      <c r="A99" s="13"/>
      <c r="B99" s="12"/>
      <c r="C99" s="13"/>
      <c r="D99" s="13"/>
      <c r="E99" s="15"/>
      <c r="F99" s="15"/>
      <c r="G99" s="10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2"/>
      <c r="T99" s="13"/>
    </row>
    <row customHeight="true" ht="17" r="100">
      <c r="A100" s="13"/>
      <c r="B100" s="12"/>
      <c r="C100" s="13"/>
      <c r="D100" s="13"/>
      <c r="E100" s="15"/>
      <c r="F100" s="15"/>
      <c r="G100" s="10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2"/>
      <c r="T100" s="13"/>
    </row>
    <row customHeight="true" ht="17" r="101">
      <c r="A101" s="13"/>
      <c r="B101" s="12"/>
      <c r="C101" s="13"/>
      <c r="D101" s="13"/>
      <c r="E101" s="15"/>
      <c r="F101" s="15"/>
      <c r="G101" s="10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2"/>
      <c r="T101" s="13"/>
    </row>
    <row customHeight="true" ht="17" r="102">
      <c r="A102" s="13"/>
      <c r="B102" s="12"/>
      <c r="C102" s="13"/>
      <c r="D102" s="13"/>
      <c r="E102" s="15"/>
      <c r="F102" s="15"/>
      <c r="G102" s="10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2"/>
      <c r="T102" s="13"/>
    </row>
    <row customHeight="true" ht="17" r="103">
      <c r="A103" s="13"/>
      <c r="B103" s="12"/>
      <c r="C103" s="13"/>
      <c r="D103" s="13"/>
      <c r="E103" s="15"/>
      <c r="F103" s="15"/>
      <c r="G103" s="10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2"/>
      <c r="T103" s="13"/>
    </row>
    <row customHeight="true" ht="17" r="104">
      <c r="A104" s="13"/>
      <c r="B104" s="12"/>
      <c r="C104" s="13"/>
      <c r="D104" s="13"/>
      <c r="E104" s="15"/>
      <c r="F104" s="15"/>
      <c r="G104" s="10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2"/>
      <c r="T104" s="13"/>
    </row>
    <row customHeight="true" ht="17" r="105">
      <c r="A105" s="13"/>
      <c r="B105" s="12"/>
      <c r="C105" s="13"/>
      <c r="D105" s="13"/>
      <c r="E105" s="15"/>
      <c r="F105" s="15"/>
      <c r="G105" s="10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2"/>
      <c r="T105" s="13"/>
    </row>
    <row customHeight="true" ht="17" r="106">
      <c r="A106" s="13"/>
      <c r="B106" s="12"/>
      <c r="C106" s="13"/>
      <c r="D106" s="13"/>
      <c r="E106" s="15"/>
      <c r="F106" s="15"/>
      <c r="G106" s="10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2"/>
      <c r="T106" s="13"/>
    </row>
    <row customHeight="true" ht="17" r="107">
      <c r="A107" s="13"/>
      <c r="B107" s="12"/>
      <c r="C107" s="13"/>
      <c r="D107" s="13"/>
      <c r="E107" s="15"/>
      <c r="F107" s="15"/>
      <c r="G107" s="10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2"/>
      <c r="T107" s="13"/>
    </row>
    <row customHeight="true" ht="17" r="108">
      <c r="A108" s="13"/>
      <c r="B108" s="12"/>
      <c r="C108" s="13"/>
      <c r="D108" s="13"/>
      <c r="E108" s="15"/>
      <c r="F108" s="15"/>
      <c r="G108" s="10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2"/>
      <c r="T108" s="13"/>
    </row>
    <row customHeight="true" ht="17" r="109">
      <c r="A109" s="13"/>
      <c r="B109" s="12"/>
      <c r="C109" s="13"/>
      <c r="D109" s="13"/>
      <c r="E109" s="15"/>
      <c r="F109" s="15"/>
      <c r="G109" s="10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2"/>
      <c r="T109" s="13"/>
    </row>
    <row customHeight="true" ht="17" r="110">
      <c r="A110" s="13"/>
      <c r="B110" s="12"/>
      <c r="C110" s="13"/>
      <c r="D110" s="13"/>
      <c r="E110" s="15"/>
      <c r="F110" s="15"/>
      <c r="G110" s="10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2"/>
      <c r="T110" s="13"/>
    </row>
    <row customHeight="true" ht="17" r="111">
      <c r="A111" s="13"/>
      <c r="B111" s="12"/>
      <c r="C111" s="13"/>
      <c r="D111" s="13"/>
      <c r="E111" s="15"/>
      <c r="F111" s="15"/>
      <c r="G111" s="10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2"/>
      <c r="T111" s="13"/>
    </row>
    <row customHeight="true" ht="17" r="112">
      <c r="A112" s="13"/>
      <c r="B112" s="12"/>
      <c r="C112" s="13"/>
      <c r="D112" s="13"/>
      <c r="E112" s="15"/>
      <c r="F112" s="15"/>
      <c r="G112" s="10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2"/>
      <c r="T112" s="13"/>
    </row>
    <row customHeight="true" ht="17" r="113">
      <c r="A113" s="13"/>
      <c r="B113" s="12"/>
      <c r="C113" s="13"/>
      <c r="D113" s="13"/>
      <c r="E113" s="15"/>
      <c r="F113" s="15"/>
      <c r="G113" s="10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2"/>
      <c r="T113" s="13"/>
    </row>
    <row customHeight="true" ht="17" r="114">
      <c r="A114" s="13"/>
      <c r="B114" s="12"/>
      <c r="C114" s="13"/>
      <c r="D114" s="13"/>
      <c r="E114" s="15"/>
      <c r="F114" s="15"/>
      <c r="G114" s="10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2"/>
      <c r="T114" s="13"/>
    </row>
    <row customHeight="true" ht="17" r="115">
      <c r="A115" s="13"/>
      <c r="B115" s="12"/>
      <c r="C115" s="13"/>
      <c r="D115" s="13"/>
      <c r="E115" s="15"/>
      <c r="F115" s="15"/>
      <c r="G115" s="10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2"/>
      <c r="T115" s="13"/>
    </row>
    <row customHeight="true" ht="17" r="116">
      <c r="A116" s="13"/>
      <c r="B116" s="12"/>
      <c r="C116" s="13"/>
      <c r="D116" s="13"/>
      <c r="E116" s="15"/>
      <c r="F116" s="15"/>
      <c r="G116" s="10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2"/>
      <c r="T116" s="13"/>
    </row>
    <row customHeight="true" ht="17" r="117">
      <c r="A117" s="13"/>
      <c r="B117" s="12"/>
      <c r="C117" s="13"/>
      <c r="D117" s="13"/>
      <c r="E117" s="15"/>
      <c r="F117" s="15"/>
      <c r="G117" s="10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2"/>
      <c r="T117" s="13"/>
    </row>
    <row customHeight="true" ht="17" r="118">
      <c r="A118" s="13"/>
      <c r="B118" s="12"/>
      <c r="C118" s="13"/>
      <c r="D118" s="13"/>
      <c r="E118" s="15"/>
      <c r="F118" s="15"/>
      <c r="G118" s="10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2"/>
      <c r="T118" s="13"/>
    </row>
    <row customHeight="true" ht="17" r="119">
      <c r="A119" s="13"/>
      <c r="B119" s="12"/>
      <c r="C119" s="13"/>
      <c r="D119" s="13"/>
      <c r="E119" s="15"/>
      <c r="F119" s="15"/>
      <c r="G119" s="10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2"/>
      <c r="T119" s="13"/>
    </row>
    <row customHeight="true" ht="17" r="120">
      <c r="A120" s="13"/>
      <c r="B120" s="12"/>
      <c r="C120" s="13"/>
      <c r="D120" s="13"/>
      <c r="E120" s="15"/>
      <c r="F120" s="15"/>
      <c r="G120" s="10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2"/>
      <c r="T120" s="13"/>
    </row>
    <row customHeight="true" ht="17" r="121">
      <c r="A121" s="13"/>
      <c r="B121" s="12"/>
      <c r="C121" s="13"/>
      <c r="D121" s="13"/>
      <c r="E121" s="15"/>
      <c r="F121" s="15"/>
      <c r="G121" s="10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2"/>
      <c r="T121" s="13"/>
    </row>
    <row customHeight="true" ht="17" r="122">
      <c r="A122" s="13"/>
      <c r="B122" s="12"/>
      <c r="C122" s="13"/>
      <c r="D122" s="13"/>
      <c r="E122" s="15"/>
      <c r="F122" s="15"/>
      <c r="G122" s="10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2"/>
      <c r="T122" s="13"/>
    </row>
    <row customHeight="true" ht="17" r="123">
      <c r="A123" s="13"/>
      <c r="B123" s="12"/>
      <c r="C123" s="13"/>
      <c r="D123" s="13"/>
      <c r="E123" s="15"/>
      <c r="F123" s="15"/>
      <c r="G123" s="10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2"/>
      <c r="T123" s="13"/>
    </row>
    <row customHeight="true" ht="17" r="124">
      <c r="A124" s="13"/>
      <c r="B124" s="12"/>
      <c r="C124" s="13"/>
      <c r="D124" s="13"/>
      <c r="E124" s="15"/>
      <c r="F124" s="15"/>
      <c r="G124" s="10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2"/>
      <c r="T124" s="13"/>
    </row>
    <row customHeight="true" ht="17" r="125">
      <c r="A125" s="13"/>
      <c r="B125" s="12"/>
      <c r="C125" s="13"/>
      <c r="D125" s="13"/>
      <c r="E125" s="15"/>
      <c r="F125" s="15"/>
      <c r="G125" s="10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2"/>
      <c r="T125" s="13"/>
    </row>
    <row customHeight="true" ht="17" r="126">
      <c r="A126" s="13"/>
      <c r="B126" s="12"/>
      <c r="C126" s="13"/>
      <c r="D126" s="13"/>
      <c r="E126" s="15"/>
      <c r="F126" s="15"/>
      <c r="G126" s="10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2"/>
      <c r="T126" s="13"/>
    </row>
    <row customHeight="true" ht="17" r="127">
      <c r="A127" s="13"/>
      <c r="B127" s="12"/>
      <c r="C127" s="13"/>
      <c r="D127" s="13"/>
      <c r="E127" s="15"/>
      <c r="F127" s="15"/>
      <c r="G127" s="10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2"/>
      <c r="T127" s="13"/>
    </row>
    <row customHeight="true" ht="17" r="128">
      <c r="A128" s="13"/>
      <c r="B128" s="12"/>
      <c r="C128" s="13"/>
      <c r="D128" s="13"/>
      <c r="E128" s="15"/>
      <c r="F128" s="15"/>
      <c r="G128" s="10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2"/>
      <c r="T128" s="13"/>
    </row>
    <row customHeight="true" ht="17" r="129">
      <c r="A129" s="13"/>
      <c r="B129" s="12"/>
      <c r="C129" s="13"/>
      <c r="D129" s="13"/>
      <c r="E129" s="15"/>
      <c r="F129" s="15"/>
      <c r="G129" s="10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2"/>
      <c r="T129" s="13"/>
    </row>
    <row customHeight="true" ht="17" r="130">
      <c r="A130" s="13"/>
      <c r="B130" s="12"/>
      <c r="C130" s="13"/>
      <c r="D130" s="13"/>
      <c r="E130" s="15"/>
      <c r="F130" s="15"/>
      <c r="G130" s="10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2"/>
      <c r="T130" s="13"/>
    </row>
    <row customHeight="true" ht="17" r="131">
      <c r="A131" s="13"/>
      <c r="B131" s="12"/>
      <c r="C131" s="13"/>
      <c r="D131" s="13"/>
      <c r="E131" s="15"/>
      <c r="F131" s="15"/>
      <c r="G131" s="10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2"/>
      <c r="T131" s="13"/>
    </row>
    <row customHeight="true" ht="17" r="132">
      <c r="A132" s="13"/>
      <c r="B132" s="12"/>
      <c r="C132" s="13"/>
      <c r="D132" s="13"/>
      <c r="E132" s="15"/>
      <c r="F132" s="15"/>
      <c r="G132" s="10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2"/>
      <c r="T132" s="13"/>
    </row>
    <row customHeight="true" ht="17" r="133">
      <c r="A133" s="13"/>
      <c r="B133" s="12"/>
      <c r="C133" s="13"/>
      <c r="D133" s="13"/>
      <c r="E133" s="15"/>
      <c r="F133" s="15"/>
      <c r="G133" s="10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2"/>
      <c r="T133" s="13"/>
    </row>
    <row customHeight="true" ht="17" r="134">
      <c r="A134" s="13"/>
      <c r="B134" s="12"/>
      <c r="C134" s="13"/>
      <c r="D134" s="13"/>
      <c r="E134" s="15"/>
      <c r="F134" s="15"/>
      <c r="G134" s="10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2"/>
      <c r="T134" s="13"/>
    </row>
    <row customHeight="true" ht="17" r="135">
      <c r="A135" s="13"/>
      <c r="B135" s="12"/>
      <c r="C135" s="13"/>
      <c r="D135" s="13"/>
      <c r="E135" s="15"/>
      <c r="F135" s="15"/>
      <c r="G135" s="10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2"/>
      <c r="T135" s="13"/>
    </row>
    <row customHeight="true" ht="17" r="136">
      <c r="A136" s="13"/>
      <c r="B136" s="12"/>
      <c r="C136" s="13"/>
      <c r="D136" s="13"/>
      <c r="E136" s="15"/>
      <c r="F136" s="15"/>
      <c r="G136" s="10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2"/>
      <c r="T136" s="13"/>
    </row>
    <row customHeight="true" ht="17" r="137">
      <c r="A137" s="13"/>
      <c r="B137" s="12"/>
      <c r="C137" s="13"/>
      <c r="D137" s="13"/>
      <c r="E137" s="15"/>
      <c r="F137" s="15"/>
      <c r="G137" s="10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2"/>
      <c r="T137" s="13"/>
    </row>
    <row customHeight="true" ht="17" r="138">
      <c r="A138" s="13"/>
      <c r="B138" s="12"/>
      <c r="C138" s="13"/>
      <c r="D138" s="13"/>
      <c r="E138" s="15"/>
      <c r="F138" s="15"/>
      <c r="G138" s="10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2"/>
      <c r="T138" s="13"/>
    </row>
    <row customHeight="true" ht="17" r="139">
      <c r="A139" s="13"/>
      <c r="B139" s="12"/>
      <c r="C139" s="13"/>
      <c r="D139" s="13"/>
      <c r="E139" s="15"/>
      <c r="F139" s="15"/>
      <c r="G139" s="10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2"/>
      <c r="T139" s="13"/>
    </row>
    <row customHeight="true" ht="17" r="140">
      <c r="A140" s="13"/>
      <c r="B140" s="12"/>
      <c r="C140" s="13"/>
      <c r="D140" s="13"/>
      <c r="E140" s="15"/>
      <c r="F140" s="15"/>
      <c r="G140" s="10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2"/>
      <c r="T140" s="13"/>
    </row>
    <row customHeight="true" ht="17" r="141">
      <c r="A141" s="13"/>
      <c r="B141" s="12"/>
      <c r="C141" s="13"/>
      <c r="D141" s="13"/>
      <c r="E141" s="15"/>
      <c r="F141" s="15"/>
      <c r="G141" s="10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2"/>
      <c r="T141" s="13"/>
    </row>
    <row customHeight="true" ht="17" r="142">
      <c r="A142" s="13"/>
      <c r="B142" s="12"/>
      <c r="C142" s="13"/>
      <c r="D142" s="13"/>
      <c r="E142" s="15"/>
      <c r="F142" s="15"/>
      <c r="G142" s="10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2"/>
      <c r="T142" s="13"/>
    </row>
    <row customHeight="true" ht="17" r="143">
      <c r="A143" s="13"/>
      <c r="B143" s="12"/>
      <c r="C143" s="13"/>
      <c r="D143" s="13"/>
      <c r="E143" s="15"/>
      <c r="F143" s="15"/>
      <c r="G143" s="10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2"/>
      <c r="T143" s="13"/>
    </row>
    <row customHeight="true" ht="17" r="144">
      <c r="A144" s="13"/>
      <c r="B144" s="12"/>
      <c r="C144" s="13"/>
      <c r="D144" s="13"/>
      <c r="E144" s="15"/>
      <c r="F144" s="15"/>
      <c r="G144" s="10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2"/>
      <c r="T144" s="13"/>
    </row>
    <row customHeight="true" ht="17" r="145">
      <c r="A145" s="13"/>
      <c r="B145" s="12"/>
      <c r="C145" s="13"/>
      <c r="D145" s="13"/>
      <c r="E145" s="15"/>
      <c r="F145" s="15"/>
      <c r="G145" s="10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2"/>
      <c r="T145" s="13"/>
    </row>
    <row customHeight="true" ht="17" r="146">
      <c r="A146" s="13"/>
      <c r="B146" s="12"/>
      <c r="C146" s="13"/>
      <c r="D146" s="13"/>
      <c r="E146" s="15"/>
      <c r="F146" s="15"/>
      <c r="G146" s="10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2"/>
      <c r="T146" s="13"/>
    </row>
    <row customHeight="true" ht="17" r="147">
      <c r="A147" s="13"/>
      <c r="B147" s="12"/>
      <c r="C147" s="13"/>
      <c r="D147" s="13"/>
      <c r="E147" s="15"/>
      <c r="F147" s="15"/>
      <c r="G147" s="10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2"/>
      <c r="T147" s="13"/>
    </row>
    <row customHeight="true" ht="17" r="148">
      <c r="A148" s="13"/>
      <c r="B148" s="12"/>
      <c r="C148" s="13"/>
      <c r="D148" s="13"/>
      <c r="E148" s="15"/>
      <c r="F148" s="15"/>
      <c r="G148" s="10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2"/>
      <c r="T148" s="13"/>
    </row>
    <row customHeight="true" ht="17" r="149">
      <c r="A149" s="13"/>
      <c r="B149" s="12"/>
      <c r="C149" s="13"/>
      <c r="D149" s="13"/>
      <c r="E149" s="15"/>
      <c r="F149" s="15"/>
      <c r="G149" s="10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2"/>
      <c r="T149" s="13"/>
    </row>
    <row customHeight="true" ht="17" r="150">
      <c r="A150" s="13"/>
      <c r="B150" s="12"/>
      <c r="C150" s="13"/>
      <c r="D150" s="13"/>
      <c r="E150" s="15"/>
      <c r="F150" s="15"/>
      <c r="G150" s="10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2"/>
      <c r="T150" s="13"/>
    </row>
    <row customHeight="true" ht="17" r="151">
      <c r="A151" s="13"/>
      <c r="B151" s="12"/>
      <c r="C151" s="13"/>
      <c r="D151" s="13"/>
      <c r="E151" s="15"/>
      <c r="F151" s="15"/>
      <c r="G151" s="10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2"/>
      <c r="T151" s="13"/>
    </row>
    <row customHeight="true" ht="17" r="152">
      <c r="A152" s="13"/>
      <c r="B152" s="12"/>
      <c r="C152" s="13"/>
      <c r="D152" s="13"/>
      <c r="E152" s="15"/>
      <c r="F152" s="15"/>
      <c r="G152" s="10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2"/>
      <c r="T152" s="13"/>
    </row>
    <row customHeight="true" ht="17" r="153">
      <c r="A153" s="13"/>
      <c r="B153" s="12"/>
      <c r="C153" s="13"/>
      <c r="D153" s="13"/>
      <c r="E153" s="15"/>
      <c r="F153" s="15"/>
      <c r="G153" s="10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2"/>
      <c r="T153" s="13"/>
    </row>
    <row customHeight="true" ht="17" r="154">
      <c r="A154" s="13"/>
      <c r="B154" s="12"/>
      <c r="C154" s="13"/>
      <c r="D154" s="13"/>
      <c r="E154" s="15"/>
      <c r="F154" s="15"/>
      <c r="G154" s="10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2"/>
      <c r="T154" s="13"/>
    </row>
    <row customHeight="true" ht="17" r="155">
      <c r="A155" s="13"/>
      <c r="B155" s="12"/>
      <c r="C155" s="13"/>
      <c r="D155" s="13"/>
      <c r="E155" s="15"/>
      <c r="F155" s="15"/>
      <c r="G155" s="10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2"/>
      <c r="T155" s="13"/>
    </row>
    <row customHeight="true" ht="17" r="156">
      <c r="A156" s="13"/>
      <c r="B156" s="12"/>
      <c r="C156" s="13"/>
      <c r="D156" s="13"/>
      <c r="E156" s="15"/>
      <c r="F156" s="15"/>
      <c r="G156" s="10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2"/>
      <c r="T156" s="13"/>
    </row>
    <row customHeight="true" ht="17" r="157">
      <c r="A157" s="13"/>
      <c r="B157" s="12"/>
      <c r="C157" s="13"/>
      <c r="D157" s="13"/>
      <c r="E157" s="15"/>
      <c r="F157" s="15"/>
      <c r="G157" s="10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2"/>
      <c r="T157" s="13"/>
    </row>
    <row customHeight="true" ht="17" r="158">
      <c r="A158" s="13"/>
      <c r="B158" s="12"/>
      <c r="C158" s="13"/>
      <c r="D158" s="13"/>
      <c r="E158" s="15"/>
      <c r="F158" s="15"/>
      <c r="G158" s="10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2"/>
      <c r="T158" s="13"/>
    </row>
    <row customHeight="true" ht="17" r="159">
      <c r="A159" s="13"/>
      <c r="B159" s="12"/>
      <c r="C159" s="13"/>
      <c r="D159" s="13"/>
      <c r="E159" s="15"/>
      <c r="F159" s="15"/>
      <c r="G159" s="10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2"/>
      <c r="T159" s="13"/>
    </row>
    <row customHeight="true" ht="17" r="160">
      <c r="A160" s="13"/>
      <c r="B160" s="12"/>
      <c r="C160" s="13"/>
      <c r="D160" s="13"/>
      <c r="E160" s="15"/>
      <c r="F160" s="15"/>
      <c r="G160" s="10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2"/>
      <c r="T160" s="13"/>
    </row>
    <row customHeight="true" ht="17" r="161">
      <c r="A161" s="13"/>
      <c r="B161" s="12"/>
      <c r="C161" s="13"/>
      <c r="D161" s="13"/>
      <c r="E161" s="15"/>
      <c r="F161" s="15"/>
      <c r="G161" s="10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2"/>
      <c r="T161" s="13"/>
    </row>
    <row customHeight="true" ht="17" r="162">
      <c r="A162" s="13"/>
      <c r="B162" s="12"/>
      <c r="C162" s="13"/>
      <c r="D162" s="13"/>
      <c r="E162" s="15"/>
      <c r="F162" s="15"/>
      <c r="G162" s="10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2"/>
      <c r="T162" s="13"/>
    </row>
    <row customHeight="true" ht="17" r="163">
      <c r="A163" s="13"/>
      <c r="B163" s="12"/>
      <c r="C163" s="13"/>
      <c r="D163" s="13"/>
      <c r="E163" s="15"/>
      <c r="F163" s="15"/>
      <c r="G163" s="10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2"/>
      <c r="T163" s="13"/>
    </row>
    <row customHeight="true" ht="17" r="164">
      <c r="A164" s="13"/>
      <c r="B164" s="12"/>
      <c r="C164" s="13"/>
      <c r="D164" s="13"/>
      <c r="E164" s="15"/>
      <c r="F164" s="15"/>
      <c r="G164" s="10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2"/>
      <c r="T164" s="13"/>
    </row>
    <row customHeight="true" ht="17" r="165">
      <c r="A165" s="13"/>
      <c r="B165" s="12"/>
      <c r="C165" s="13"/>
      <c r="D165" s="13"/>
      <c r="E165" s="15"/>
      <c r="F165" s="15"/>
      <c r="G165" s="10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2"/>
      <c r="T165" s="13"/>
    </row>
    <row customHeight="true" ht="17" r="166">
      <c r="A166" s="13"/>
      <c r="B166" s="12"/>
      <c r="C166" s="13"/>
      <c r="D166" s="13"/>
      <c r="E166" s="15"/>
      <c r="F166" s="15"/>
      <c r="G166" s="10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2"/>
      <c r="T166" s="13"/>
    </row>
    <row customHeight="true" ht="17" r="167">
      <c r="A167" s="13"/>
      <c r="B167" s="12"/>
      <c r="C167" s="13"/>
      <c r="D167" s="13"/>
      <c r="E167" s="15"/>
      <c r="F167" s="15"/>
      <c r="G167" s="10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2"/>
      <c r="T167" s="13"/>
    </row>
    <row customHeight="true" ht="17" r="168">
      <c r="A168" s="13"/>
      <c r="B168" s="12"/>
      <c r="C168" s="13"/>
      <c r="D168" s="13"/>
      <c r="E168" s="15"/>
      <c r="F168" s="15"/>
      <c r="G168" s="10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2"/>
      <c r="T168" s="13"/>
    </row>
    <row customHeight="true" ht="17" r="169">
      <c r="A169" s="13"/>
      <c r="B169" s="12"/>
      <c r="C169" s="13"/>
      <c r="D169" s="13"/>
      <c r="E169" s="15"/>
      <c r="F169" s="15"/>
      <c r="G169" s="10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2"/>
      <c r="T169" s="13"/>
    </row>
    <row customHeight="true" ht="17" r="170">
      <c r="A170" s="13"/>
      <c r="B170" s="12"/>
      <c r="C170" s="13"/>
      <c r="D170" s="13"/>
      <c r="E170" s="15"/>
      <c r="F170" s="15"/>
      <c r="G170" s="10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2"/>
      <c r="T170" s="13"/>
    </row>
    <row customHeight="true" ht="17" r="171">
      <c r="A171" s="13"/>
      <c r="B171" s="12"/>
      <c r="C171" s="13"/>
      <c r="D171" s="13"/>
      <c r="E171" s="15"/>
      <c r="F171" s="15"/>
      <c r="G171" s="10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2"/>
      <c r="T171" s="13"/>
    </row>
    <row customHeight="true" ht="17" r="172">
      <c r="A172" s="13"/>
      <c r="B172" s="12"/>
      <c r="C172" s="13"/>
      <c r="D172" s="13"/>
      <c r="E172" s="15"/>
      <c r="F172" s="15"/>
      <c r="G172" s="10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2"/>
      <c r="T172" s="13"/>
    </row>
    <row customHeight="true" ht="17" r="173">
      <c r="A173" s="13"/>
      <c r="B173" s="12"/>
      <c r="C173" s="13"/>
      <c r="D173" s="13"/>
      <c r="E173" s="15"/>
      <c r="F173" s="15"/>
      <c r="G173" s="10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2"/>
      <c r="T173" s="13"/>
    </row>
    <row customHeight="true" ht="17" r="174">
      <c r="A174" s="13"/>
      <c r="B174" s="12"/>
      <c r="C174" s="13"/>
      <c r="D174" s="13"/>
      <c r="E174" s="15"/>
      <c r="F174" s="15"/>
      <c r="G174" s="10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2"/>
      <c r="T174" s="13"/>
    </row>
    <row customHeight="true" ht="17" r="175">
      <c r="A175" s="13"/>
      <c r="B175" s="12"/>
      <c r="C175" s="13"/>
      <c r="D175" s="13"/>
      <c r="E175" s="15"/>
      <c r="F175" s="15"/>
      <c r="G175" s="10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2"/>
      <c r="T175" s="13"/>
    </row>
    <row customHeight="true" ht="17" r="176">
      <c r="A176" s="13"/>
      <c r="B176" s="12"/>
      <c r="C176" s="13"/>
      <c r="D176" s="13"/>
      <c r="E176" s="15"/>
      <c r="F176" s="15"/>
      <c r="G176" s="10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2"/>
      <c r="T176" s="13"/>
    </row>
    <row customHeight="true" ht="17" r="177">
      <c r="A177" s="13"/>
      <c r="B177" s="12"/>
      <c r="C177" s="13"/>
      <c r="D177" s="13"/>
      <c r="E177" s="15"/>
      <c r="F177" s="15"/>
      <c r="G177" s="10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2"/>
      <c r="T177" s="13"/>
    </row>
    <row customHeight="true" ht="17" r="178">
      <c r="A178" s="13"/>
      <c r="B178" s="12"/>
      <c r="C178" s="13"/>
      <c r="D178" s="13"/>
      <c r="E178" s="15"/>
      <c r="F178" s="15"/>
      <c r="G178" s="10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2"/>
      <c r="T178" s="13"/>
    </row>
    <row customHeight="true" ht="17" r="179">
      <c r="A179" s="13"/>
      <c r="B179" s="12"/>
      <c r="C179" s="13"/>
      <c r="D179" s="13"/>
      <c r="E179" s="15"/>
      <c r="F179" s="15"/>
      <c r="G179" s="10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2"/>
      <c r="T179" s="13"/>
    </row>
    <row customHeight="true" ht="17" r="180">
      <c r="A180" s="13"/>
      <c r="B180" s="12"/>
      <c r="C180" s="13"/>
      <c r="D180" s="13"/>
      <c r="E180" s="15"/>
      <c r="F180" s="15"/>
      <c r="G180" s="10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2"/>
      <c r="T180" s="13"/>
    </row>
    <row customHeight="true" ht="17" r="181">
      <c r="A181" s="13"/>
      <c r="B181" s="12"/>
      <c r="C181" s="13"/>
      <c r="D181" s="13"/>
      <c r="E181" s="15"/>
      <c r="F181" s="15"/>
      <c r="G181" s="10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2"/>
      <c r="T181" s="13"/>
    </row>
    <row customHeight="true" ht="17" r="182">
      <c r="A182" s="13"/>
      <c r="B182" s="12"/>
      <c r="C182" s="13"/>
      <c r="D182" s="13"/>
      <c r="E182" s="15"/>
      <c r="F182" s="15"/>
      <c r="G182" s="10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2"/>
      <c r="T182" s="13"/>
    </row>
    <row customHeight="true" ht="17" r="183">
      <c r="A183" s="13"/>
      <c r="B183" s="12"/>
      <c r="C183" s="13"/>
      <c r="D183" s="13"/>
      <c r="E183" s="15"/>
      <c r="F183" s="15"/>
      <c r="G183" s="10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2"/>
      <c r="T183" s="13"/>
    </row>
    <row customHeight="true" ht="17" r="184">
      <c r="A184" s="13"/>
      <c r="B184" s="12"/>
      <c r="C184" s="13"/>
      <c r="D184" s="13"/>
      <c r="E184" s="15"/>
      <c r="F184" s="15"/>
      <c r="G184" s="10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2"/>
      <c r="T184" s="13"/>
    </row>
    <row customHeight="true" ht="17" r="185">
      <c r="A185" s="13"/>
      <c r="B185" s="12"/>
      <c r="C185" s="13"/>
      <c r="D185" s="13"/>
      <c r="E185" s="15"/>
      <c r="F185" s="15"/>
      <c r="G185" s="10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2"/>
      <c r="T185" s="13"/>
    </row>
    <row customHeight="true" ht="17" r="186">
      <c r="A186" s="13"/>
      <c r="B186" s="12"/>
      <c r="C186" s="13"/>
      <c r="D186" s="13"/>
      <c r="E186" s="15"/>
      <c r="F186" s="15"/>
      <c r="G186" s="10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2"/>
      <c r="T186" s="13"/>
    </row>
    <row customHeight="true" ht="17" r="187">
      <c r="A187" s="13"/>
      <c r="B187" s="12"/>
      <c r="C187" s="13"/>
      <c r="D187" s="13"/>
      <c r="E187" s="15"/>
      <c r="F187" s="15"/>
      <c r="G187" s="10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2"/>
      <c r="T187" s="13"/>
    </row>
    <row customHeight="true" ht="17" r="188">
      <c r="A188" s="13"/>
      <c r="B188" s="12"/>
      <c r="C188" s="13"/>
      <c r="D188" s="13"/>
      <c r="E188" s="15"/>
      <c r="F188" s="15"/>
      <c r="G188" s="10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2"/>
      <c r="T188" s="13"/>
    </row>
    <row customHeight="true" ht="17" r="189">
      <c r="A189" s="13"/>
      <c r="B189" s="12"/>
      <c r="C189" s="13"/>
      <c r="D189" s="13"/>
      <c r="E189" s="15"/>
      <c r="F189" s="15"/>
      <c r="G189" s="10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2"/>
      <c r="T189" s="13"/>
    </row>
    <row customHeight="true" ht="17" r="190">
      <c r="A190" s="13"/>
      <c r="B190" s="12"/>
      <c r="C190" s="13"/>
      <c r="D190" s="13"/>
      <c r="E190" s="15"/>
      <c r="F190" s="15"/>
      <c r="G190" s="10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2"/>
      <c r="T190" s="13"/>
    </row>
    <row customHeight="true" ht="17" r="191">
      <c r="A191" s="13"/>
      <c r="B191" s="12"/>
      <c r="C191" s="13"/>
      <c r="D191" s="13"/>
      <c r="E191" s="15"/>
      <c r="F191" s="15"/>
      <c r="G191" s="10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2"/>
      <c r="T191" s="13"/>
    </row>
    <row customHeight="true" ht="17" r="192">
      <c r="A192" s="13"/>
      <c r="B192" s="12"/>
      <c r="C192" s="13"/>
      <c r="D192" s="13"/>
      <c r="E192" s="15"/>
      <c r="F192" s="15"/>
      <c r="G192" s="10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2"/>
      <c r="T192" s="13"/>
    </row>
    <row customHeight="true" ht="17" r="193">
      <c r="A193" s="13"/>
      <c r="B193" s="12"/>
      <c r="C193" s="13"/>
      <c r="D193" s="13"/>
      <c r="E193" s="15"/>
      <c r="F193" s="15"/>
      <c r="G193" s="10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2"/>
      <c r="T193" s="13"/>
    </row>
    <row customHeight="true" ht="17" r="194">
      <c r="A194" s="13"/>
      <c r="B194" s="12"/>
      <c r="C194" s="13"/>
      <c r="D194" s="13"/>
      <c r="E194" s="15"/>
      <c r="F194" s="15"/>
      <c r="G194" s="10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2"/>
      <c r="T194" s="13"/>
    </row>
    <row customHeight="true" ht="17" r="195">
      <c r="A195" s="13"/>
      <c r="B195" s="12"/>
      <c r="C195" s="13"/>
      <c r="D195" s="13"/>
      <c r="E195" s="15"/>
      <c r="F195" s="15"/>
      <c r="G195" s="10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2"/>
      <c r="T195" s="13"/>
    </row>
    <row customHeight="true" ht="17" r="196">
      <c r="A196" s="13"/>
      <c r="B196" s="12"/>
      <c r="C196" s="13"/>
      <c r="D196" s="13"/>
      <c r="E196" s="15"/>
      <c r="F196" s="15"/>
      <c r="G196" s="10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2"/>
      <c r="T196" s="13"/>
    </row>
    <row customHeight="true" ht="17" r="197">
      <c r="A197" s="13"/>
      <c r="B197" s="12"/>
      <c r="C197" s="13"/>
      <c r="D197" s="13"/>
      <c r="E197" s="15"/>
      <c r="F197" s="15"/>
      <c r="G197" s="10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2"/>
      <c r="T197" s="13"/>
    </row>
    <row customHeight="true" ht="17" r="198">
      <c r="A198" s="13"/>
      <c r="B198" s="12"/>
      <c r="C198" s="13"/>
      <c r="D198" s="13"/>
      <c r="E198" s="15"/>
      <c r="F198" s="15"/>
      <c r="G198" s="10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2"/>
      <c r="T198" s="13"/>
    </row>
    <row customHeight="true" ht="17" r="199">
      <c r="A199" s="13"/>
      <c r="B199" s="12"/>
      <c r="C199" s="13"/>
      <c r="D199" s="13"/>
      <c r="E199" s="15"/>
      <c r="F199" s="15"/>
      <c r="G199" s="10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2"/>
      <c r="T199" s="13"/>
    </row>
    <row customHeight="true" ht="17" r="200">
      <c r="A200" s="13"/>
      <c r="B200" s="12"/>
      <c r="C200" s="13"/>
      <c r="D200" s="13"/>
      <c r="E200" s="15"/>
      <c r="F200" s="15"/>
      <c r="G200" s="10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2"/>
      <c r="T200" s="13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F1" xSplit="5"/>
    </sheetView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1"/>
    <col collapsed="false" customWidth="true" hidden="false" max="3" min="3" style="0" width="20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4"/>
    <col collapsed="false" customWidth="true" hidden="false" max="36" min="36" style="0" width="14"/>
    <col collapsed="false" customWidth="true" hidden="false" max="37" min="37" style="0" width="14"/>
    <col collapsed="false" customWidth="true" hidden="false" max="38" min="38" style="0" width="15"/>
    <col collapsed="false" customWidth="true" hidden="false" max="39" min="39" style="0" width="14"/>
    <col collapsed="false" customWidth="true" hidden="false" max="40" min="40" style="0" width="14"/>
    <col collapsed="false" customWidth="true" hidden="false" max="41" min="41" style="0" width="14"/>
    <col collapsed="false" customWidth="true" hidden="false" max="42" min="42" style="0" width="14"/>
    <col collapsed="false" customWidth="true" hidden="false" max="43" min="43" style="0" width="14"/>
    <col collapsed="false" customWidth="true" hidden="false" max="44" min="44" style="0" width="14"/>
    <col collapsed="false" customWidth="true" hidden="false" max="45" min="45" style="0" width="14"/>
    <col collapsed="false" customWidth="true" hidden="false" max="46" min="46" style="0" width="14"/>
    <col collapsed="false" customWidth="true" hidden="false" max="47" min="47" style="0" width="14"/>
    <col collapsed="false" customWidth="true" hidden="false" max="48" min="48" style="0" width="14"/>
    <col collapsed="false" customWidth="true" hidden="false" max="49" min="49" style="0" width="14"/>
    <col collapsed="false" customWidth="true" hidden="false" max="50" min="50" style="0" width="14"/>
    <col collapsed="false" customWidth="true" hidden="false" max="51" min="51" style="0" width="14"/>
    <col collapsed="false" customWidth="true" hidden="false" max="52" min="52" style="0" width="14"/>
    <col collapsed="false" customWidth="true" hidden="false" max="53" min="53" style="0" width="14"/>
    <col collapsed="false" customWidth="true" hidden="false" max="54" min="54" style="0" width="14"/>
    <col collapsed="false" customWidth="true" hidden="false" max="55" min="55" style="0" width="14"/>
    <col collapsed="false" customWidth="true" hidden="false" max="56" min="56" style="0" width="14"/>
    <col collapsed="false" customWidth="true" hidden="false" max="57" min="57" style="0" width="14"/>
    <col collapsed="false" customWidth="true" hidden="false" max="58" min="58" style="0" width="14"/>
    <col collapsed="false" customWidth="true" hidden="false" max="59" min="59" style="0" width="14"/>
    <col collapsed="false" customWidth="true" hidden="false" max="60" min="60" style="0" width="14"/>
    <col collapsed="false" customWidth="true" hidden="false" max="61" min="61" style="0" width="14"/>
    <col collapsed="false" customWidth="true" hidden="false" max="62" min="62" style="0" width="14"/>
    <col collapsed="false" customWidth="true" hidden="false" max="63" min="63" style="0" width="14"/>
    <col collapsed="false" customWidth="true" hidden="false" max="64" min="64" style="0" width="14"/>
    <col collapsed="false" customWidth="true" hidden="false" max="65" min="65" style="0" width="14"/>
    <col collapsed="false" customWidth="true" hidden="false" max="66" min="66" style="0" width="14"/>
    <col collapsed="false" customWidth="true" hidden="false" max="67" min="67" style="0" width="14"/>
    <col collapsed="false" customWidth="true" hidden="false" max="68" min="68" style="0" width="14"/>
    <col collapsed="false" customWidth="true" hidden="false" max="69" min="69" style="0" width="14"/>
    <col collapsed="false" customWidth="true" hidden="false" max="70" min="70" style="0" width="14"/>
    <col collapsed="false" customWidth="true" hidden="false" max="71" min="71" style="0" width="14"/>
    <col collapsed="false" customWidth="true" hidden="false" max="72" min="72" style="0" width="14"/>
    <col collapsed="false" customWidth="true" hidden="false" max="73" min="73" style="0" width="14"/>
    <col collapsed="false" customWidth="true" hidden="false" max="74" min="74" style="0" width="14"/>
    <col collapsed="false" customWidth="true" hidden="false" max="75" min="75" style="0" width="14"/>
    <col collapsed="false" customWidth="true" hidden="false" max="76" min="76" style="0" width="14"/>
    <col collapsed="false" customWidth="true" hidden="false" max="77" min="77" style="0" width="14"/>
    <col collapsed="false" customWidth="true" hidden="false" max="78" min="78" style="0" width="14"/>
    <col collapsed="false" customWidth="true" hidden="false" max="79" min="79" style="0" width="14"/>
    <col collapsed="false" customWidth="true" hidden="false" max="80" min="80" style="0" width="14"/>
    <col collapsed="false" customWidth="true" hidden="false" max="81" min="81" style="0" width="14"/>
    <col collapsed="false" customWidth="true" hidden="false" max="82" min="82" style="0" width="14"/>
    <col collapsed="false" customWidth="true" hidden="false" max="83" min="83" style="0" width="14"/>
    <col collapsed="false" customWidth="true" hidden="false" max="84" min="84" style="0" width="14"/>
    <col collapsed="false" customWidth="true" hidden="false" max="85" min="85" style="0" width="14"/>
    <col collapsed="false" customWidth="true" hidden="false" max="86" min="86" style="0" width="14"/>
    <col collapsed="false" customWidth="true" hidden="false" max="87" min="87" style="0" width="14"/>
    <col collapsed="false" customWidth="true" hidden="false" max="88" min="88" style="0" width="14"/>
    <col collapsed="false" customWidth="true" hidden="false" max="89" min="89" style="0" width="14"/>
    <col collapsed="false" customWidth="true" hidden="false" max="90" min="90" style="0" width="14"/>
    <col collapsed="false" customWidth="true" hidden="false" max="91" min="91" style="0" width="14"/>
    <col collapsed="false" customWidth="true" hidden="false" max="92" min="92" style="0" width="14"/>
    <col collapsed="false" customWidth="true" hidden="false" max="93" min="93" style="0" width="14"/>
    <col collapsed="false" customWidth="true" hidden="false" max="94" min="94" style="0" width="37"/>
    <col collapsed="false" customWidth="true" hidden="false" max="95" min="95" style="0" width="11"/>
  </cols>
  <sheetData>
    <row customHeight="true" ht="78" r="1">
      <c r="A1" s="34"/>
      <c r="B1" s="90"/>
      <c r="C1" s="90"/>
      <c r="D1" s="36"/>
      <c r="E1" s="36"/>
      <c r="F1" s="24" t="str">
        <v>Opening Balance</v>
      </c>
      <c r="G1" s="24" t="str">
        <v>Location Transfer</v>
      </c>
      <c r="H1" s="24" t="str">
        <v>Location Transfer</v>
      </c>
      <c r="I1" s="24" t="str">
        <v>Location Transfer</v>
      </c>
      <c r="J1" s="24" t="str">
        <v>Location Transfer</v>
      </c>
      <c r="K1" s="24" t="str">
        <v>Location Transfer</v>
      </c>
      <c r="L1" s="24" t="str">
        <v>GRN</v>
      </c>
      <c r="M1" s="24" t="str">
        <v>Location Transfer</v>
      </c>
      <c r="N1" s="24" t="str">
        <v>Location Transfer</v>
      </c>
      <c r="O1" s="24" t="str">
        <v>GRN</v>
      </c>
      <c r="P1" s="24" t="str">
        <v>GRN</v>
      </c>
      <c r="Q1" s="24" t="str">
        <v>GRN</v>
      </c>
      <c r="R1" s="24" t="str">
        <v>Location Transfer</v>
      </c>
      <c r="S1" s="24" t="str">
        <v>GRN</v>
      </c>
      <c r="T1" s="24" t="str">
        <v>Location Transfer</v>
      </c>
      <c r="U1" s="24" t="str">
        <v>Location Transfer</v>
      </c>
      <c r="V1" s="24" t="str">
        <v>GRN</v>
      </c>
      <c r="W1" s="24" t="str">
        <v>Location Transfer</v>
      </c>
      <c r="X1" s="24" t="str">
        <v>Location Transfer</v>
      </c>
      <c r="Y1" s="24" t="str">
        <v>Location Transfer</v>
      </c>
      <c r="Z1" s="24" t="str">
        <v>Location Transfer</v>
      </c>
      <c r="AA1" s="24" t="str">
        <v>Location Transfer</v>
      </c>
      <c r="AB1" s="24" t="str">
        <v>Location Transfer</v>
      </c>
      <c r="AC1" s="24" t="str">
        <v>GRN</v>
      </c>
      <c r="AD1" s="24" t="str">
        <v>Location Transfer</v>
      </c>
      <c r="AE1" s="24" t="str">
        <v>Location Transfer</v>
      </c>
      <c r="AF1" s="24" t="str">
        <v>Location Transfer</v>
      </c>
      <c r="AG1" s="24" t="str">
        <v>Location Transfer</v>
      </c>
      <c r="AH1" s="24" t="str">
        <v>Location Transfer</v>
      </c>
      <c r="AI1" s="24" t="str">
        <v>Location Transfer</v>
      </c>
      <c r="AJ1" s="24" t="str">
        <v>Location Transfer</v>
      </c>
      <c r="AK1" s="24" t="str">
        <v>Location Transfer</v>
      </c>
      <c r="AL1" s="24" t="str">
        <v>Location Transfer</v>
      </c>
      <c r="AM1" s="24" t="str">
        <v>GRN</v>
      </c>
      <c r="AN1" s="24" t="str">
        <v>Location Transfer</v>
      </c>
      <c r="AO1" s="24" t="str">
        <v>Location Transfer</v>
      </c>
      <c r="AP1" s="24" t="str">
        <v>Location Transfer</v>
      </c>
      <c r="AQ1" s="24" t="str">
        <v>GRN</v>
      </c>
      <c r="AR1" s="24" t="str">
        <v>Location Transfer</v>
      </c>
      <c r="AS1" s="24" t="str">
        <v>Location Transfer</v>
      </c>
      <c r="AT1" s="24" t="str">
        <v>GRN</v>
      </c>
      <c r="AU1" s="24" t="str">
        <v>Location Transfer</v>
      </c>
      <c r="AV1" s="24" t="str">
        <v>Location Transfer</v>
      </c>
      <c r="AW1" s="24" t="str">
        <v>Location Transfer</v>
      </c>
      <c r="AX1" s="24" t="str">
        <v>Location Transfer</v>
      </c>
      <c r="AY1" s="24" t="str">
        <v>Location Transfer</v>
      </c>
      <c r="AZ1" s="24" t="str">
        <v>Location Transfer</v>
      </c>
      <c r="BA1" s="24" t="str">
        <v>Location Transfer</v>
      </c>
      <c r="BB1" s="24" t="str">
        <v>Location Transfer</v>
      </c>
      <c r="BC1" s="24" t="str">
        <v>GRN</v>
      </c>
      <c r="BD1" s="24" t="str">
        <v>Location Transfer</v>
      </c>
      <c r="BE1" s="24" t="str">
        <v>Location Transfer</v>
      </c>
      <c r="BF1" s="24" t="str">
        <v>Location Transfer</v>
      </c>
      <c r="BG1" s="24" t="str">
        <v>Location Transfer</v>
      </c>
      <c r="BH1" s="24" t="str">
        <v>Location Transfer</v>
      </c>
      <c r="BI1" s="24" t="str">
        <v>Location Transfer</v>
      </c>
      <c r="BJ1" s="24" t="str">
        <v>Location Transfer</v>
      </c>
      <c r="BK1" s="24" t="str">
        <v>Location Transfer</v>
      </c>
      <c r="BL1" s="24" t="str">
        <v>Location Transfer</v>
      </c>
      <c r="BM1" s="24" t="str">
        <v>Location Transfer</v>
      </c>
      <c r="BN1" s="24" t="str">
        <v>Location Transfer</v>
      </c>
      <c r="BO1" s="24" t="str">
        <v>Location Transfer</v>
      </c>
      <c r="BP1" s="24" t="str">
        <v>Location Transfer</v>
      </c>
      <c r="BQ1" s="24" t="str">
        <v>Location Transfer</v>
      </c>
      <c r="BR1" s="24" t="str">
        <v>Location Transfer</v>
      </c>
      <c r="BS1" s="24" t="str">
        <v>Location Transfer</v>
      </c>
      <c r="BT1" s="24" t="str">
        <v>Location Transfer</v>
      </c>
      <c r="BU1" s="24" t="str">
        <v>Location Transfer</v>
      </c>
      <c r="BV1" s="24" t="str">
        <v>Location Transfer</v>
      </c>
      <c r="BW1" s="24" t="str">
        <v>Location Transfer</v>
      </c>
      <c r="BX1" s="24" t="str">
        <v>Location Transfer</v>
      </c>
      <c r="BY1" s="24" t="str">
        <v>Location Transfer</v>
      </c>
      <c r="BZ1" s="24" t="str">
        <v>Location Transfer</v>
      </c>
      <c r="CA1" s="24" t="str">
        <v>Location Transfer</v>
      </c>
      <c r="CB1" s="24" t="str">
        <v>Location Transfer</v>
      </c>
      <c r="CC1" s="24" t="str">
        <v>Location Transfer</v>
      </c>
      <c r="CD1" s="24" t="str">
        <v>Location Transfer</v>
      </c>
      <c r="CE1" s="24" t="str">
        <v>Location Transfer</v>
      </c>
      <c r="CF1" s="24" t="str">
        <v>GRN</v>
      </c>
      <c r="CG1" s="24" t="str">
        <v>Location Transfer</v>
      </c>
      <c r="CH1" s="24" t="str">
        <v>Location Transfer</v>
      </c>
      <c r="CI1" s="24" t="str">
        <v>GRN</v>
      </c>
      <c r="CJ1" s="24" t="str">
        <v>Location Transfer</v>
      </c>
      <c r="CK1" s="24" t="str">
        <v>Location Transfer</v>
      </c>
      <c r="CL1" s="24" t="str">
        <v>GRN</v>
      </c>
      <c r="CM1" s="24"/>
      <c r="CN1" s="89" t="str">
        <v>Stock Balance</v>
      </c>
      <c r="CO1" s="24"/>
      <c r="CP1" s="10"/>
      <c r="CQ1" s="24"/>
    </row>
    <row customHeight="true" ht="78" r="2">
      <c r="A2" s="29" t="str">
        <v>Product Name 
(ONLINE STORE)</v>
      </c>
      <c r="B2" s="37" t="str">
        <v>Size</v>
      </c>
      <c r="C2" s="37" t="str">
        <v>Scent</v>
      </c>
      <c r="D2" s="28" t="str">
        <v>Retail Price</v>
      </c>
      <c r="E2" s="28" t="str">
        <v>Cost Price</v>
      </c>
      <c r="F2" s="27" t="str">
        <v>Stock Carried Forward from 2021</v>
      </c>
      <c r="G2" s="27" t="str">
        <v>Transfer In from MO 12/2/22</v>
      </c>
      <c r="H2" s="27" t="str">
        <v>Transfer In from MO 26/3/22</v>
      </c>
      <c r="I2" s="27" t="str">
        <v>Sample for SingHealth 20/4</v>
      </c>
      <c r="J2" s="27" t="str">
        <v>Transfer Out to KA 
03/05/22</v>
      </c>
      <c r="K2" s="27" t="str">
        <v>Stock In from MO for Pick-up Order
11/05/22</v>
      </c>
      <c r="L2" s="27" t="str">
        <v>Stock In 
18/05/22</v>
      </c>
      <c r="M2" s="27" t="str">
        <v>Transfer In from MO
01/06/22</v>
      </c>
      <c r="N2" s="27" t="str">
        <v>Returned Sample from SingHealth
03/06/22</v>
      </c>
      <c r="O2" s="27" t="str">
        <v>Stock In
23/08/22</v>
      </c>
      <c r="P2" s="27" t="str">
        <v>Stock In
20/10/22</v>
      </c>
      <c r="Q2" s="27" t="str">
        <v>Stock In
09/11/22</v>
      </c>
      <c r="R2" s="27" t="str">
        <v>Transfer Out to Corp Order
08/12/22</v>
      </c>
      <c r="S2" s="27" t="str">
        <v>Stock In 
13/12/22</v>
      </c>
      <c r="T2" s="27" t="str">
        <v>Transfer In from MO
29/12/22</v>
      </c>
      <c r="U2" s="27" t="str">
        <v>Transfer Out to KA
15/01/23</v>
      </c>
      <c r="V2" s="27" t="str">
        <v>Stock In
09/03/23</v>
      </c>
      <c r="W2" s="27" t="str">
        <v>Transfer Out to Duo 
18/04/23</v>
      </c>
      <c r="X2" s="27" t="str">
        <v>Transfer In from Duo
27/04/23</v>
      </c>
      <c r="Y2" s="27" t="str">
        <v>Returned Sample from Hello Flowers
17/08/23</v>
      </c>
      <c r="Z2" s="27" t="str">
        <v>Transfer In from KA
17/08/23</v>
      </c>
      <c r="AA2" s="27" t="str">
        <v>Transfer Out to KA
26/08/23</v>
      </c>
      <c r="AB2" s="27" t="str">
        <v>Transfer Out to KA
21/10/23</v>
      </c>
      <c r="AC2" s="27" t="str">
        <v>Stock In
08/11/23</v>
      </c>
      <c r="AD2" s="27" t="str">
        <v>Transfer In from KA
29/11/23</v>
      </c>
      <c r="AE2" s="27" t="str">
        <v>Transfer In from DUO
29/11/23</v>
      </c>
      <c r="AF2" s="27" t="str">
        <v>Transfer from in DUO 5/12/23</v>
      </c>
      <c r="AG2" s="27" t="str">
        <v>Transfer In from DUO
6/12/23</v>
      </c>
      <c r="AH2" s="27" t="str">
        <v>Transfer in from DUO 7/12/23</v>
      </c>
      <c r="AI2" s="27" t="str">
        <v>Transfer in from DUO 15/12/23</v>
      </c>
      <c r="AJ2" s="27" t="str">
        <v>Transfer in from DUO 15/12/23</v>
      </c>
      <c r="AK2" s="27" t="str">
        <v>Transfer In from DUO 
15/12/23</v>
      </c>
      <c r="AL2" s="27" t="str">
        <v>Transfer Out to Online 19/12/23</v>
      </c>
      <c r="AM2" s="27" t="str">
        <v>Stock In
21/12/23</v>
      </c>
      <c r="AN2" s="27" t="str">
        <v>Transfer In from DUO
24/12/23</v>
      </c>
      <c r="AO2" s="27" t="str">
        <v>Transfer In from DUO
11/01/24</v>
      </c>
      <c r="AP2" s="27" t="str">
        <v>Transfer In from DUO
11/01/24</v>
      </c>
      <c r="AQ2" s="27" t="str">
        <v>Stocks Received
12/03/24</v>
      </c>
      <c r="AR2" s="27" t="str">
        <v>Transfer Out to KA
04/06/24</v>
      </c>
      <c r="AS2" s="27" t="str">
        <v>Transfer In from DUO 04/07/2024</v>
      </c>
      <c r="AT2" s="27" t="str">
        <v>Stock In 10/8/24</v>
      </c>
      <c r="AU2" s="27" t="str">
        <v>Transfer in from DUO 07/09/24</v>
      </c>
      <c r="AV2" s="27" t="str">
        <v>Transfer In from DUO 12/10/24</v>
      </c>
      <c r="AW2" s="27" t="str">
        <v>Transfer In from DUO
2/11/24</v>
      </c>
      <c r="AX2" s="91" t="str">
        <v>Transfer In from DUO
11/11/24</v>
      </c>
      <c r="AY2" s="91" t="str">
        <v>Transfer In from DUO 13/11/24</v>
      </c>
      <c r="AZ2" s="27" t="str">
        <v>Transfer In from KA 4/12/24</v>
      </c>
      <c r="BA2" s="27" t="str">
        <v>Transfer In from KA 4/12/24</v>
      </c>
      <c r="BB2" s="27" t="str">
        <v>Transfer In from KA 6/12/24</v>
      </c>
      <c r="BC2" s="27" t="str">
        <v>Stock In 6/12/24</v>
      </c>
      <c r="BD2" s="27" t="str">
        <v>Transfer In from DUO
13/12/24</v>
      </c>
      <c r="BE2" s="91" t="str">
        <v>Transfer in from DUO
13/12/24</v>
      </c>
      <c r="BF2" s="91" t="str">
        <v>Transfer in from DUO 
13/12/24</v>
      </c>
      <c r="BG2" s="27" t="str">
        <v>Transfer In from DUO 17/12/24</v>
      </c>
      <c r="BH2" s="27" t="str">
        <v>Transfer In From DUO
18/12/24</v>
      </c>
      <c r="BI2" s="27" t="str">
        <v>Transfer In From DUO
18/12/24</v>
      </c>
      <c r="BJ2" s="27" t="str">
        <v>Transfer In from KA 23/12/24</v>
      </c>
      <c r="BK2" s="27" t="str">
        <v>Transfer In from KA 2/1/25</v>
      </c>
      <c r="BL2" s="27" t="str">
        <v>Stock out for corporate order 23/01/24</v>
      </c>
      <c r="BM2" s="91" t="str">
        <v>Transfer in from DUO
5/2/25</v>
      </c>
      <c r="BN2" s="27" t="str">
        <v>Transfer In from KA
8/2/25</v>
      </c>
      <c r="BO2" s="27" t="str">
        <v>Transfer In from KA
8/2/25</v>
      </c>
      <c r="BP2" s="27" t="str">
        <v>Recon Transfer in from DUO
8/2/25</v>
      </c>
      <c r="BQ2" s="27" t="str">
        <v>Transfer In from DUO
13/2/25</v>
      </c>
      <c r="BR2" s="27" t="str">
        <v>Transfer In from KA 
14/2/25</v>
      </c>
      <c r="BS2" s="27" t="str">
        <v>Transfer In from DUO
18/2/25</v>
      </c>
      <c r="BT2" s="27" t="str">
        <v>Transfer Out to Corp Order
20/02/25</v>
      </c>
      <c r="BU2" s="27" t="str">
        <v>Stock In
20/02/25</v>
      </c>
      <c r="BV2" s="27" t="str">
        <v>Transfer In from DUO 26/2/25</v>
      </c>
      <c r="BW2" s="91" t="str">
        <v>Transfer In from DUO 15/3/25</v>
      </c>
      <c r="BX2" s="91" t="str">
        <v>Transfer In from DUO 4/4/25</v>
      </c>
      <c r="BY2" s="91" t="str">
        <v>Transfer In from KA 10/4/25</v>
      </c>
      <c r="BZ2" s="91" t="str">
        <v>Transfer In from DUO 15/4/25</v>
      </c>
      <c r="CA2" s="91" t="str">
        <v>Transfer In from DUO
13/5/25</v>
      </c>
      <c r="CB2" s="91" t="str">
        <v>Recon - Transfer In from KA
3/6/25</v>
      </c>
      <c r="CC2" s="91" t="str">
        <v>Transfer in from KA
24/07/25</v>
      </c>
      <c r="CD2" s="91" t="str">
        <v>Transfer In from KA
14/08/25</v>
      </c>
      <c r="CE2" s="91" t="str">
        <v>Transfer out to Corp
14/08/25</v>
      </c>
      <c r="CF2" s="91" t="str">
        <v>Stock in 21/08/25</v>
      </c>
      <c r="CG2" s="91" t="str">
        <v>Transfer in from KA</v>
      </c>
      <c r="CH2" s="91" t="str">
        <v>Transfer Out To KA
11/12/25</v>
      </c>
      <c r="CI2" s="91" t="str">
        <v>Stock in 16/12/25</v>
      </c>
      <c r="CJ2" s="27" t="str">
        <v>Transfer in from KA
04/02/26</v>
      </c>
      <c r="CK2" s="91" t="str">
        <v>Transfer Out to KA
04/03/26</v>
      </c>
      <c r="CL2" s="91" t="str">
        <v>Stock In
02/04/26</v>
      </c>
      <c r="CM2" s="27"/>
      <c r="CN2" s="92" t="str">
        <v>REMAINDER</v>
      </c>
      <c r="CO2" s="27" t="str">
        <v>Stock Take</v>
      </c>
      <c r="CP2" s="21" t="str">
        <v>Remarks</v>
      </c>
      <c r="CQ2" s="27" t="str">
        <v>Restock Request</v>
      </c>
    </row>
    <row customHeight="true" ht="17" r="3">
      <c r="A3" s="57" t="str">
        <v>Hand-poured Soy Candles</v>
      </c>
      <c r="B3" s="56" t="str">
        <v>Double</v>
      </c>
      <c r="C3" s="56" t="str">
        <v>Amber &amp; Ash</v>
      </c>
      <c r="D3" s="55">
        <v>60</v>
      </c>
      <c r="E3" s="55">
        <v>26</v>
      </c>
      <c r="F3" s="58">
        <v>2</v>
      </c>
      <c r="G3" s="58"/>
      <c r="H3" s="61"/>
      <c r="I3" s="58"/>
      <c r="J3" s="61"/>
      <c r="K3" s="61"/>
      <c r="L3" s="61"/>
      <c r="M3" s="61"/>
      <c r="N3" s="61"/>
      <c r="O3" s="61"/>
      <c r="P3" s="61">
        <v>2</v>
      </c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>
        <v>1</v>
      </c>
      <c r="AN3" s="61"/>
      <c r="AO3" s="61"/>
      <c r="AP3" s="61"/>
      <c r="AQ3" s="61">
        <v>2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>
        <f>2</f>
      </c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0">
        <f>SUM(F3:CM3)</f>
      </c>
      <c r="CO3" s="58"/>
      <c r="CP3" s="59"/>
      <c r="CQ3" s="58"/>
    </row>
    <row customHeight="true" ht="17" r="4">
      <c r="A4" s="57" t="str">
        <v>Hand-poured Soy Candles</v>
      </c>
      <c r="B4" s="56" t="str">
        <v>Double</v>
      </c>
      <c r="C4" s="56" t="str">
        <v>Apple Blossom</v>
      </c>
      <c r="D4" s="55">
        <v>60</v>
      </c>
      <c r="E4" s="55">
        <v>26</v>
      </c>
      <c r="F4" s="52"/>
      <c r="G4" s="52"/>
      <c r="H4" s="54"/>
      <c r="I4" s="53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60">
        <f>SUM(F4:CM4)</f>
      </c>
      <c r="CO4" s="58"/>
      <c r="CP4" s="59"/>
      <c r="CQ4" s="58"/>
    </row>
    <row customHeight="true" ht="17" r="5">
      <c r="A5" s="57" t="str">
        <v>Hand-poured Soy Candles</v>
      </c>
      <c r="B5" s="56" t="str">
        <v>Double</v>
      </c>
      <c r="C5" s="56" t="str">
        <v>Blue Hydrangea</v>
      </c>
      <c r="D5" s="55">
        <v>60</v>
      </c>
      <c r="E5" s="55">
        <v>26</v>
      </c>
      <c r="F5" s="52"/>
      <c r="G5" s="52"/>
      <c r="H5" s="54"/>
      <c r="I5" s="53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60">
        <f>SUM(F5:CM5)</f>
      </c>
      <c r="CO5" s="58"/>
      <c r="CP5" s="59"/>
      <c r="CQ5" s="58"/>
    </row>
    <row customHeight="true" ht="17" r="6">
      <c r="A6" s="57" t="str">
        <v>Hand-poured Soy Candles</v>
      </c>
      <c r="B6" s="56" t="str">
        <v>Double</v>
      </c>
      <c r="C6" s="56" t="str">
        <v>Brown Sugar &amp; Fig</v>
      </c>
      <c r="D6" s="55">
        <v>60</v>
      </c>
      <c r="E6" s="55">
        <v>26</v>
      </c>
      <c r="F6" s="52"/>
      <c r="G6" s="52"/>
      <c r="H6" s="54"/>
      <c r="I6" s="53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>
        <v>2</v>
      </c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60">
        <f>SUM(F6:CM6)</f>
      </c>
      <c r="CO6" s="58">
        <v>1</v>
      </c>
      <c r="CP6" s="59"/>
      <c r="CQ6" s="58"/>
    </row>
    <row customHeight="true" ht="17" r="7">
      <c r="A7" s="57" t="str">
        <v>Hand-poured Soy Candles</v>
      </c>
      <c r="B7" s="56" t="str">
        <v>Double</v>
      </c>
      <c r="C7" s="56" t="str">
        <v>Christmas Tree</v>
      </c>
      <c r="D7" s="55">
        <v>60</v>
      </c>
      <c r="E7" s="55">
        <v>26</v>
      </c>
      <c r="F7" s="52"/>
      <c r="G7" s="52"/>
      <c r="H7" s="54"/>
      <c r="I7" s="53"/>
      <c r="J7" s="52"/>
      <c r="K7" s="52"/>
      <c r="L7" s="52"/>
      <c r="M7" s="52"/>
      <c r="N7" s="52"/>
      <c r="O7" s="52"/>
      <c r="P7" s="52">
        <v>2</v>
      </c>
      <c r="Q7" s="52"/>
      <c r="R7" s="52"/>
      <c r="S7" s="52"/>
      <c r="T7" s="52"/>
      <c r="U7" s="52"/>
      <c r="V7" s="52">
        <v>1</v>
      </c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>
        <v>1</v>
      </c>
      <c r="AM7" s="52"/>
      <c r="AN7" s="52"/>
      <c r="AO7" s="52"/>
      <c r="AP7" s="52"/>
      <c r="AQ7" s="52">
        <v>2</v>
      </c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>
        <v>2</v>
      </c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60">
        <f>SUM(F7:CM7)</f>
      </c>
      <c r="CO7" s="58">
        <v>2</v>
      </c>
      <c r="CP7" s="59"/>
      <c r="CQ7" s="58"/>
    </row>
    <row customHeight="true" ht="17" r="8">
      <c r="A8" s="57" t="str">
        <v>Hand-poured Soy Candles</v>
      </c>
      <c r="B8" s="56" t="str">
        <v>Double</v>
      </c>
      <c r="C8" s="56" t="str">
        <v>Citronella</v>
      </c>
      <c r="D8" s="55">
        <v>60</v>
      </c>
      <c r="E8" s="55">
        <v>26</v>
      </c>
      <c r="F8" s="52"/>
      <c r="G8" s="52"/>
      <c r="H8" s="54"/>
      <c r="I8" s="53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60">
        <f>SUM(F8:CM8)</f>
      </c>
      <c r="CO8" s="58"/>
      <c r="CP8" s="59"/>
      <c r="CQ8" s="58"/>
    </row>
    <row customHeight="true" ht="17" r="9">
      <c r="A9" s="57" t="str">
        <v>Hand-poured Soy Candles</v>
      </c>
      <c r="B9" s="56" t="str">
        <v>Double</v>
      </c>
      <c r="C9" s="56" t="str">
        <v>Clean Cotton</v>
      </c>
      <c r="D9" s="55">
        <v>60</v>
      </c>
      <c r="E9" s="55">
        <v>26</v>
      </c>
      <c r="F9" s="52"/>
      <c r="G9" s="52"/>
      <c r="H9" s="54"/>
      <c r="I9" s="53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>
        <v>1</v>
      </c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60">
        <f>SUM(F9:CM9)</f>
      </c>
      <c r="CO9" s="58">
        <v>1</v>
      </c>
      <c r="CP9" s="59"/>
      <c r="CQ9" s="58"/>
    </row>
    <row customHeight="true" ht="17" r="10">
      <c r="A10" s="57" t="str">
        <v>Hand-poured Soy Candles</v>
      </c>
      <c r="B10" s="56" t="str">
        <v>Double</v>
      </c>
      <c r="C10" s="56" t="str">
        <v>Coffee &amp; Cream</v>
      </c>
      <c r="D10" s="55">
        <v>60</v>
      </c>
      <c r="E10" s="55">
        <v>26</v>
      </c>
      <c r="F10" s="52"/>
      <c r="G10" s="52"/>
      <c r="H10" s="54"/>
      <c r="I10" s="53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>
        <v>2</v>
      </c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60">
        <f>SUM(F10:CM10)</f>
      </c>
      <c r="CO10" s="58">
        <v>1</v>
      </c>
      <c r="CP10" s="59"/>
      <c r="CQ10" s="58"/>
    </row>
    <row customHeight="true" ht="17" r="11">
      <c r="A11" s="57" t="str">
        <v>Hand-poured Soy Candles</v>
      </c>
      <c r="B11" s="56" t="str">
        <v>Double</v>
      </c>
      <c r="C11" s="56" t="str">
        <v>Desert Sunset</v>
      </c>
      <c r="D11" s="55">
        <v>60</v>
      </c>
      <c r="E11" s="55">
        <v>26</v>
      </c>
      <c r="F11" s="52"/>
      <c r="G11" s="52"/>
      <c r="H11" s="54"/>
      <c r="I11" s="53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>
        <v>2</v>
      </c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60">
        <f>SUM(F11:CM11)</f>
      </c>
      <c r="CO11" s="58">
        <v>1</v>
      </c>
      <c r="CP11" s="59"/>
      <c r="CQ11" s="58"/>
    </row>
    <row customHeight="true" ht="17" r="12">
      <c r="A12" s="57" t="str">
        <v>Hand-poured Soy Candles</v>
      </c>
      <c r="B12" s="56" t="str">
        <v>Double</v>
      </c>
      <c r="C12" s="56" t="str">
        <v>Eucalyptus &amp; Mint</v>
      </c>
      <c r="D12" s="55">
        <v>60</v>
      </c>
      <c r="E12" s="55">
        <v>26</v>
      </c>
      <c r="F12" s="52">
        <v>2</v>
      </c>
      <c r="G12" s="52"/>
      <c r="H12" s="54"/>
      <c r="I12" s="53"/>
      <c r="J12" s="52"/>
      <c r="K12" s="52"/>
      <c r="L12" s="52"/>
      <c r="M12" s="52"/>
      <c r="N12" s="52"/>
      <c r="O12" s="52"/>
      <c r="P12" s="52"/>
      <c r="Q12" s="52"/>
      <c r="R12" s="52"/>
      <c r="S12" s="52">
        <v>1</v>
      </c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>
        <v>2</v>
      </c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60">
        <f>SUM(F12:CM12)</f>
      </c>
      <c r="CO12" s="58"/>
      <c r="CP12" s="59"/>
      <c r="CQ12" s="58"/>
    </row>
    <row customHeight="true" ht="17" r="13">
      <c r="A13" s="57" t="str">
        <v>Hand-poured Soy Candles</v>
      </c>
      <c r="B13" s="56" t="str">
        <v>Double</v>
      </c>
      <c r="C13" s="56" t="str">
        <v>Forest Berry</v>
      </c>
      <c r="D13" s="55">
        <v>60</v>
      </c>
      <c r="E13" s="55">
        <v>26</v>
      </c>
      <c r="F13" s="52"/>
      <c r="G13" s="52"/>
      <c r="H13" s="54"/>
      <c r="I13" s="53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>
        <v>2</v>
      </c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60">
        <f>SUM(F13:CM13)</f>
      </c>
      <c r="CO13" s="58">
        <v>2</v>
      </c>
      <c r="CP13" s="59"/>
      <c r="CQ13" s="58"/>
    </row>
    <row customHeight="true" ht="17" r="14">
      <c r="A14" s="57" t="str">
        <v>Hand-poured Soy Candles</v>
      </c>
      <c r="B14" s="56" t="str">
        <v>Double</v>
      </c>
      <c r="C14" s="56" t="str">
        <v>French Vanilla</v>
      </c>
      <c r="D14" s="55">
        <v>60</v>
      </c>
      <c r="E14" s="55">
        <v>26</v>
      </c>
      <c r="F14" s="52"/>
      <c r="G14" s="52"/>
      <c r="H14" s="54"/>
      <c r="I14" s="53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>
        <v>2</v>
      </c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>
        <v>1</v>
      </c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>
        <v>1</v>
      </c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60">
        <f>SUM(F14:CM14)</f>
      </c>
      <c r="CO14" s="58">
        <v>2</v>
      </c>
      <c r="CP14" s="59"/>
      <c r="CQ14" s="58"/>
    </row>
    <row customHeight="true" ht="17" r="15">
      <c r="A15" s="57" t="str">
        <v>Hand-poured Soy Candles</v>
      </c>
      <c r="B15" s="56" t="str">
        <v>Double</v>
      </c>
      <c r="C15" s="56" t="str">
        <v>Island Coconut</v>
      </c>
      <c r="D15" s="55">
        <v>60</v>
      </c>
      <c r="E15" s="55">
        <v>26</v>
      </c>
      <c r="F15" s="52">
        <v>2</v>
      </c>
      <c r="G15" s="52"/>
      <c r="H15" s="54"/>
      <c r="I15" s="53"/>
      <c r="J15" s="52"/>
      <c r="K15" s="52"/>
      <c r="L15" s="52"/>
      <c r="M15" s="52"/>
      <c r="N15" s="52"/>
      <c r="O15" s="52"/>
      <c r="P15" s="52">
        <v>2</v>
      </c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>
        <v>1</v>
      </c>
      <c r="AD15" s="52"/>
      <c r="AE15" s="52"/>
      <c r="AF15" s="52"/>
      <c r="AG15" s="52"/>
      <c r="AH15" s="52"/>
      <c r="AI15" s="52">
        <v>1</v>
      </c>
      <c r="AJ15" s="52"/>
      <c r="AK15" s="52"/>
      <c r="AL15" s="52"/>
      <c r="AM15" s="52"/>
      <c r="AN15" s="52"/>
      <c r="AO15" s="52"/>
      <c r="AP15" s="52"/>
      <c r="AQ15" s="52">
        <v>2</v>
      </c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>
        <v>-1</v>
      </c>
      <c r="BU15" s="52"/>
      <c r="BV15" s="52"/>
      <c r="BW15" s="52"/>
      <c r="BX15" s="52"/>
      <c r="BY15" s="52"/>
      <c r="BZ15" s="52"/>
      <c r="CA15" s="52"/>
      <c r="CB15" s="52"/>
      <c r="CC15" s="52">
        <v>2</v>
      </c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60">
        <f>SUM(F15:CM15)</f>
      </c>
      <c r="CO15" s="58">
        <v>2</v>
      </c>
      <c r="CP15" s="59"/>
      <c r="CQ15" s="58"/>
    </row>
    <row customHeight="true" ht="17" r="16">
      <c r="A16" s="57" t="str">
        <v>Hand-poured Soy Candles</v>
      </c>
      <c r="B16" s="56" t="str">
        <v>Double</v>
      </c>
      <c r="C16" s="56" t="str">
        <v>Island Driftwood</v>
      </c>
      <c r="D16" s="55">
        <v>60</v>
      </c>
      <c r="E16" s="55">
        <v>26</v>
      </c>
      <c r="F16" s="52">
        <v>2</v>
      </c>
      <c r="G16" s="52"/>
      <c r="H16" s="54"/>
      <c r="I16" s="53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>
        <v>1</v>
      </c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>
        <v>2</v>
      </c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60">
        <f>SUM(F16:CM16)</f>
      </c>
      <c r="CO16" s="58">
        <v>1</v>
      </c>
      <c r="CP16" s="59"/>
      <c r="CQ16" s="58"/>
    </row>
    <row customHeight="true" ht="17" r="17">
      <c r="A17" s="57" t="str">
        <v>Hand-poured Soy Candles</v>
      </c>
      <c r="B17" s="56" t="str">
        <v>Double</v>
      </c>
      <c r="C17" s="56" t="str">
        <v>Lavender</v>
      </c>
      <c r="D17" s="55">
        <v>60</v>
      </c>
      <c r="E17" s="55">
        <v>26</v>
      </c>
      <c r="F17" s="52"/>
      <c r="G17" s="52"/>
      <c r="H17" s="54"/>
      <c r="I17" s="53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60">
        <f>SUM(F17:CM17)</f>
      </c>
      <c r="CO17" s="58"/>
      <c r="CP17" s="59"/>
      <c r="CQ17" s="58"/>
    </row>
    <row customHeight="true" ht="17" r="18">
      <c r="A18" s="57" t="str">
        <v>Hand-poured Soy Candles</v>
      </c>
      <c r="B18" s="56" t="str">
        <v>Double</v>
      </c>
      <c r="C18" s="56" t="str">
        <v>Lemongrass Tea</v>
      </c>
      <c r="D18" s="55">
        <v>60</v>
      </c>
      <c r="E18" s="55">
        <v>26</v>
      </c>
      <c r="F18" s="52">
        <v>2</v>
      </c>
      <c r="G18" s="52"/>
      <c r="H18" s="54"/>
      <c r="I18" s="53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>
        <v>2</v>
      </c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60">
        <f>SUM(F18:CM18)</f>
      </c>
      <c r="CO18" s="58">
        <v>2</v>
      </c>
      <c r="CP18" s="59"/>
      <c r="CQ18" s="58"/>
    </row>
    <row customHeight="true" ht="17" r="19">
      <c r="A19" s="57" t="str">
        <v>Hand-poured Soy Candles</v>
      </c>
      <c r="B19" s="56" t="str">
        <v>Double</v>
      </c>
      <c r="C19" s="56" t="str">
        <v>Merry Mistletoe</v>
      </c>
      <c r="D19" s="55">
        <v>60</v>
      </c>
      <c r="E19" s="55">
        <v>26</v>
      </c>
      <c r="F19" s="52"/>
      <c r="G19" s="52"/>
      <c r="H19" s="54"/>
      <c r="I19" s="53"/>
      <c r="J19" s="52"/>
      <c r="K19" s="52"/>
      <c r="L19" s="52"/>
      <c r="M19" s="52"/>
      <c r="N19" s="52"/>
      <c r="O19" s="52"/>
      <c r="P19" s="52">
        <v>2</v>
      </c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>
        <v>2</v>
      </c>
      <c r="AD19" s="52"/>
      <c r="AE19" s="52"/>
      <c r="AF19" s="52"/>
      <c r="AG19" s="52"/>
      <c r="AH19" s="52"/>
      <c r="AI19" s="52"/>
      <c r="AJ19" s="52"/>
      <c r="AK19" s="52"/>
      <c r="AL19" s="52"/>
      <c r="AM19" s="52">
        <v>2</v>
      </c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>
        <v>2</v>
      </c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>
        <v>1</v>
      </c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60">
        <f>SUM(F19:CM19)</f>
      </c>
      <c r="CO19" s="58"/>
      <c r="CP19" s="59"/>
      <c r="CQ19" s="58"/>
    </row>
    <row customHeight="true" ht="17" r="20">
      <c r="A20" s="57" t="str">
        <v>Hand-poured Soy Candles</v>
      </c>
      <c r="B20" s="56" t="str">
        <v>Double</v>
      </c>
      <c r="C20" s="56" t="str">
        <v>Mountain Rain</v>
      </c>
      <c r="D20" s="55">
        <v>60</v>
      </c>
      <c r="E20" s="55">
        <v>26</v>
      </c>
      <c r="F20" s="52">
        <v>2</v>
      </c>
      <c r="G20" s="52"/>
      <c r="H20" s="54"/>
      <c r="I20" s="53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>
        <v>1</v>
      </c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>
        <v>2</v>
      </c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>
        <v>1</v>
      </c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60">
        <f>SUM(F20:CM20)</f>
      </c>
      <c r="CO20" s="58">
        <v>1</v>
      </c>
      <c r="CP20" s="59"/>
      <c r="CQ20" s="58"/>
    </row>
    <row customHeight="true" ht="17" r="21">
      <c r="A21" s="57" t="str">
        <v>Hand-poured Soy Candles</v>
      </c>
      <c r="B21" s="56" t="str">
        <v>Double</v>
      </c>
      <c r="C21" s="56" t="str">
        <v>Sandalwood &amp; Citrus</v>
      </c>
      <c r="D21" s="55">
        <v>60</v>
      </c>
      <c r="E21" s="55">
        <v>26</v>
      </c>
      <c r="F21" s="52">
        <v>2</v>
      </c>
      <c r="G21" s="52"/>
      <c r="H21" s="54"/>
      <c r="I21" s="53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>
        <v>1</v>
      </c>
      <c r="AW21" s="52"/>
      <c r="AX21" s="52">
        <v>1</v>
      </c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60">
        <f>SUM(F21:CM21)</f>
      </c>
      <c r="CO21" s="58"/>
      <c r="CP21" s="59"/>
      <c r="CQ21" s="58"/>
    </row>
    <row customHeight="true" ht="17" r="22">
      <c r="A22" s="57" t="str">
        <v>Hand-poured Soy Candles</v>
      </c>
      <c r="B22" s="56" t="str">
        <v>Double</v>
      </c>
      <c r="C22" s="56" t="str">
        <v>Spice Market</v>
      </c>
      <c r="D22" s="55">
        <v>60</v>
      </c>
      <c r="E22" s="55">
        <v>26</v>
      </c>
      <c r="F22" s="52">
        <v>2</v>
      </c>
      <c r="G22" s="52"/>
      <c r="H22" s="54"/>
      <c r="I22" s="53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>
        <v>2</v>
      </c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>
        <v>2</v>
      </c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60">
        <f>SUM(F22:CM22)</f>
      </c>
      <c r="CO22" s="58">
        <v>2</v>
      </c>
      <c r="CP22" s="59"/>
      <c r="CQ22" s="58"/>
    </row>
    <row customHeight="true" ht="17" r="23">
      <c r="A23" s="57" t="str">
        <v>Hand-poured Soy Candles</v>
      </c>
      <c r="B23" s="56" t="str">
        <v>Double</v>
      </c>
      <c r="C23" s="56" t="str">
        <v>Vanilla &amp; Spice</v>
      </c>
      <c r="D23" s="55">
        <v>60</v>
      </c>
      <c r="E23" s="55">
        <v>26</v>
      </c>
      <c r="F23" s="52">
        <v>2</v>
      </c>
      <c r="G23" s="52"/>
      <c r="H23" s="54"/>
      <c r="I23" s="53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>
        <v>1</v>
      </c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>
        <v>1</v>
      </c>
      <c r="AN23" s="52"/>
      <c r="AO23" s="52"/>
      <c r="AP23" s="52"/>
      <c r="AQ23" s="52">
        <v>1</v>
      </c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>
        <v>2</v>
      </c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60">
        <f>SUM(F23:CM23)</f>
      </c>
      <c r="CO23" s="58">
        <v>1</v>
      </c>
      <c r="CP23" s="59"/>
      <c r="CQ23" s="58"/>
    </row>
    <row customHeight="true" ht="17" r="24">
      <c r="A24" s="57" t="str">
        <v>Hand-poured Soy Candles</v>
      </c>
      <c r="B24" s="56" t="str">
        <v>Double</v>
      </c>
      <c r="C24" s="56" t="str">
        <v>Whiskey River</v>
      </c>
      <c r="D24" s="55">
        <v>60</v>
      </c>
      <c r="E24" s="55">
        <v>26</v>
      </c>
      <c r="F24" s="52"/>
      <c r="G24" s="52"/>
      <c r="H24" s="54"/>
      <c r="I24" s="53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60">
        <f>SUM(F24:CM24)</f>
      </c>
      <c r="CO24" s="58"/>
      <c r="CP24" s="59"/>
      <c r="CQ24" s="58"/>
    </row>
    <row customHeight="true" ht="17" r="25">
      <c r="A25" s="57" t="str">
        <v>Hand-poured Soy Candles</v>
      </c>
      <c r="B25" s="56" t="str">
        <v>Double</v>
      </c>
      <c r="C25" s="56" t="str">
        <v>White Lily</v>
      </c>
      <c r="D25" s="55">
        <v>60</v>
      </c>
      <c r="E25" s="55">
        <v>26</v>
      </c>
      <c r="F25" s="52">
        <v>2</v>
      </c>
      <c r="G25" s="52"/>
      <c r="H25" s="54"/>
      <c r="I25" s="53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>
        <v>2</v>
      </c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>
        <v>2</v>
      </c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60">
        <f>SUM(F25:CM25)</f>
      </c>
      <c r="CO25" s="58">
        <v>2</v>
      </c>
      <c r="CP25" s="59"/>
      <c r="CQ25" s="58"/>
    </row>
    <row customHeight="true" ht="17" r="26">
      <c r="A26" s="57" t="str">
        <v>Hand-poured Soy Candles</v>
      </c>
      <c r="B26" s="56" t="str">
        <v>Double</v>
      </c>
      <c r="C26" s="56" t="str">
        <v>Wild Rose</v>
      </c>
      <c r="D26" s="55">
        <v>60</v>
      </c>
      <c r="E26" s="55">
        <v>26</v>
      </c>
      <c r="F26" s="52">
        <v>2</v>
      </c>
      <c r="G26" s="52"/>
      <c r="H26" s="54"/>
      <c r="I26" s="53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>
        <v>2</v>
      </c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60">
        <f>SUM(F26:CM26)</f>
      </c>
      <c r="CO26" s="58">
        <v>2</v>
      </c>
      <c r="CP26" s="59"/>
      <c r="CQ26" s="58"/>
    </row>
    <row customHeight="true" ht="17" r="27">
      <c r="A27" s="73"/>
      <c r="B27" s="72"/>
      <c r="C27" s="72"/>
      <c r="D27" s="74"/>
      <c r="E27" s="74"/>
      <c r="F27" s="75"/>
      <c r="G27" s="75"/>
      <c r="H27" s="76"/>
      <c r="I27" s="71"/>
      <c r="J27" s="71"/>
      <c r="K27" s="71"/>
      <c r="L27" s="70">
        <f>sum(L3:L26)</f>
      </c>
      <c r="M27" s="70">
        <f>sum(M3:M26)</f>
      </c>
      <c r="N27" s="71">
        <f>sum(N3:N26)</f>
      </c>
      <c r="O27" s="70">
        <f>sum(O3:O26)</f>
      </c>
      <c r="P27" s="70">
        <f>sum(P3:P26)</f>
      </c>
      <c r="Q27" s="70">
        <f>sum(Q3:Q26)</f>
      </c>
      <c r="R27" s="70">
        <f>sum(R3:R26)</f>
      </c>
      <c r="S27" s="70">
        <f>sum(S3:S26)</f>
      </c>
      <c r="T27" s="70">
        <f>sum(T3:T26)</f>
      </c>
      <c r="U27" s="70">
        <f>sum(U3:U26)</f>
      </c>
      <c r="V27" s="70">
        <f>sum(V3:V26)</f>
      </c>
      <c r="W27" s="70">
        <f>sum(W3:W26)</f>
      </c>
      <c r="X27" s="70">
        <f>sum(X3:X26)</f>
      </c>
      <c r="Y27" s="70">
        <f>sum(Y3:Y26)</f>
      </c>
      <c r="Z27" s="70">
        <f>sum(Z3:Z26)</f>
      </c>
      <c r="AA27" s="70">
        <f>sum(AA3:AA26)</f>
      </c>
      <c r="AB27" s="70">
        <f>sum(AB3:AB26)</f>
      </c>
      <c r="AC27" s="70">
        <f>sum(AC3:AC26)</f>
      </c>
      <c r="AD27" s="70">
        <f>sum(AD3:AD26)</f>
      </c>
      <c r="AE27" s="70">
        <f>sum(AE3:AE26)</f>
      </c>
      <c r="AF27" s="70">
        <f>sum(AF3:AF26)</f>
      </c>
      <c r="AG27" s="70">
        <f>sum(AG3:AG26)</f>
      </c>
      <c r="AH27" s="70">
        <f>sum(AH3:AH26)</f>
      </c>
      <c r="AI27" s="70">
        <f>sum(AI3:AI26)</f>
      </c>
      <c r="AJ27" s="70">
        <f>sum(AJ3:AJ26)</f>
      </c>
      <c r="AK27" s="70">
        <f>sum(AK3:AK26)</f>
      </c>
      <c r="AL27" s="70">
        <f>sum(AL3:AL26)</f>
      </c>
      <c r="AM27" s="70">
        <f>sum(AM3:AM26)</f>
      </c>
      <c r="AN27" s="70">
        <f>sum(AN3:AN26)</f>
      </c>
      <c r="AO27" s="70">
        <f>sum(AO3:AO26)</f>
      </c>
      <c r="AP27" s="70">
        <f>sum(AP3:AP26)</f>
      </c>
      <c r="AQ27" s="70">
        <f>sum(AQ3:AQ26)</f>
      </c>
      <c r="AR27" s="70">
        <f>sum(AR3:AR26)</f>
      </c>
      <c r="AS27" s="70">
        <f>sum(AS3:AS26)</f>
      </c>
      <c r="AT27" s="70">
        <f>sum(AT3:AT26)</f>
      </c>
      <c r="AU27" s="70">
        <f>sum(AU3:AU26)</f>
      </c>
      <c r="AV27" s="70">
        <f>sum(AV3:AV26)</f>
      </c>
      <c r="AW27" s="70">
        <f>sum(AW3:AW26)</f>
      </c>
      <c r="AX27" s="70">
        <f>sum(AX3:AX26)</f>
      </c>
      <c r="AY27" s="70">
        <f>sum(AY3:AY26)</f>
      </c>
      <c r="AZ27" s="70">
        <f>sum(AZ3:AZ26)</f>
      </c>
      <c r="BA27" s="70">
        <f>sum(BA3:BA26)</f>
      </c>
      <c r="BB27" s="70">
        <f>sum(BB3:BB26)</f>
      </c>
      <c r="BC27" s="70">
        <f>sum(BC3:BC26)</f>
      </c>
      <c r="BD27" s="70">
        <f>sum(BD3:BD26)</f>
      </c>
      <c r="BE27" s="70">
        <f>sum(BE3:BE26)</f>
      </c>
      <c r="BF27" s="70">
        <f>sum(BF3:BF26)</f>
      </c>
      <c r="BG27" s="70">
        <f>sum(BG3:BG26)</f>
      </c>
      <c r="BH27" s="70">
        <f>sum(BH3:BH26)</f>
      </c>
      <c r="BI27" s="70">
        <f>sum(BI3:BI26)</f>
      </c>
      <c r="BJ27" s="70">
        <f>sum(BJ3:BJ26)</f>
      </c>
      <c r="BK27" s="70">
        <f>sum(BK3:BK26)</f>
      </c>
      <c r="BL27" s="70">
        <f>sum(BL3:BL26)</f>
      </c>
      <c r="BM27" s="70">
        <f>sum(BM3:BM26)</f>
      </c>
      <c r="BN27" s="70">
        <f>sum(BN3:BN26)</f>
      </c>
      <c r="BO27" s="70">
        <f>sum(BO3:BO26)</f>
      </c>
      <c r="BP27" s="70">
        <f>sum(BP3:BP26)</f>
      </c>
      <c r="BQ27" s="70">
        <f>sum(BQ3:BQ26)</f>
      </c>
      <c r="BR27" s="70">
        <f>sum(BR3:BR26)</f>
      </c>
      <c r="BS27" s="70">
        <f>sum(BS3:BS26)</f>
      </c>
      <c r="BT27" s="70">
        <f>sum(BT3:BT26)</f>
      </c>
      <c r="BU27" s="70">
        <f>sum(BU3:BU26)</f>
      </c>
      <c r="BV27" s="70"/>
      <c r="BW27" s="70">
        <f>sum(BW3:BW26)</f>
      </c>
      <c r="BX27" s="70">
        <f>sum(BX3:BX26)</f>
      </c>
      <c r="BY27" s="70">
        <f>sum(BY3:BY26)</f>
      </c>
      <c r="BZ27" s="70">
        <f>sum(BZ3:BZ26)</f>
      </c>
      <c r="CA27" s="70">
        <f>sum(CA3:CA26)</f>
      </c>
      <c r="CB27" s="70">
        <f>sum(CB3:CB26)</f>
      </c>
      <c r="CC27" s="70">
        <f>sum(CC3:CC26)</f>
      </c>
      <c r="CD27" s="70">
        <f>sum(CD3:CD26)</f>
      </c>
      <c r="CE27" s="70">
        <f>sum(CE3:CE26)</f>
      </c>
      <c r="CF27" s="70">
        <f>sum(CF3:CF26)</f>
      </c>
      <c r="CG27" s="70">
        <f>sum(CG3:CG26)</f>
      </c>
      <c r="CH27" s="70">
        <f>sum(CH3:CH26)</f>
      </c>
      <c r="CI27" s="70">
        <f>sum(CI3:CI26)</f>
      </c>
      <c r="CJ27" s="70">
        <f>sum(CJ3:CJ26)</f>
      </c>
      <c r="CK27" s="70">
        <f>sum(CK3:CK26)</f>
      </c>
      <c r="CL27" s="70">
        <f>sum(CL3:CL26)</f>
      </c>
      <c r="CM27" s="70">
        <f>sum(CM3:CM26)</f>
      </c>
      <c r="CN27" s="70">
        <f>sum(CN3:CN26)</f>
      </c>
      <c r="CO27" s="70">
        <f>sum(CO3:CO26)</f>
      </c>
      <c r="CP27" s="70">
        <f>sum(CP3:CP26)</f>
      </c>
      <c r="CQ27" s="70">
        <f>sum(CQ3:CQ26)</f>
      </c>
    </row>
    <row customHeight="true" ht="17" r="28">
      <c r="A28" s="57" t="str">
        <v>Hand-poured Soy Candles</v>
      </c>
      <c r="B28" s="56" t="str">
        <v>Large</v>
      </c>
      <c r="C28" s="56" t="str">
        <v>Amber &amp; Ash</v>
      </c>
      <c r="D28" s="55">
        <v>40</v>
      </c>
      <c r="E28" s="55">
        <v>19.5</v>
      </c>
      <c r="F28" s="52">
        <v>5</v>
      </c>
      <c r="G28" s="52"/>
      <c r="H28" s="54"/>
      <c r="I28" s="53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>
        <v>2</v>
      </c>
      <c r="AN28" s="54"/>
      <c r="AO28" s="54"/>
      <c r="AP28" s="54"/>
      <c r="AQ28" s="54">
        <v>4</v>
      </c>
      <c r="AR28" s="54"/>
      <c r="AS28" s="54"/>
      <c r="AT28" s="54">
        <v>2</v>
      </c>
      <c r="AU28" s="54"/>
      <c r="AV28" s="54"/>
      <c r="AW28" s="54"/>
      <c r="AX28" s="54"/>
      <c r="AY28" s="54"/>
      <c r="AZ28" s="54"/>
      <c r="BA28" s="54"/>
      <c r="BB28" s="54"/>
      <c r="BC28" s="54">
        <v>5</v>
      </c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  <c r="CC28" s="54"/>
      <c r="CD28" s="54"/>
      <c r="CE28" s="54"/>
      <c r="CF28" s="54"/>
      <c r="CG28" s="54"/>
      <c r="CH28" s="54"/>
      <c r="CI28" s="54">
        <v>4</v>
      </c>
      <c r="CJ28" s="54"/>
      <c r="CK28" s="54"/>
      <c r="CL28" s="54"/>
      <c r="CM28" s="54"/>
      <c r="CN28" s="60">
        <f>SUM(F28:CM28)</f>
      </c>
      <c r="CO28" s="58">
        <v>2</v>
      </c>
      <c r="CP28" s="59"/>
      <c r="CQ28" s="58"/>
    </row>
    <row customHeight="true" ht="17" r="29">
      <c r="A29" s="57" t="str">
        <v>Hand-poured Soy Candles</v>
      </c>
      <c r="B29" s="56" t="str">
        <v>Large</v>
      </c>
      <c r="C29" s="56" t="str">
        <v>Apple Blossom</v>
      </c>
      <c r="D29" s="55">
        <v>40</v>
      </c>
      <c r="E29" s="55">
        <v>19.5</v>
      </c>
      <c r="F29" s="52"/>
      <c r="G29" s="52"/>
      <c r="H29" s="54"/>
      <c r="I29" s="53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60">
        <f>SUM(F29:CM29)</f>
      </c>
      <c r="CO29" s="58"/>
      <c r="CP29" s="59"/>
      <c r="CQ29" s="58"/>
    </row>
    <row customHeight="true" ht="17" r="30">
      <c r="A30" s="57" t="str">
        <v>Hand-poured Soy Candles</v>
      </c>
      <c r="B30" s="56" t="str">
        <v>Large</v>
      </c>
      <c r="C30" s="56" t="str">
        <v>Blue Hydrangea</v>
      </c>
      <c r="D30" s="55">
        <v>40</v>
      </c>
      <c r="E30" s="55">
        <v>19.5</v>
      </c>
      <c r="F30" s="52"/>
      <c r="G30" s="52"/>
      <c r="H30" s="54"/>
      <c r="I30" s="53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  <c r="CA30" s="54"/>
      <c r="CB30" s="54"/>
      <c r="CC30" s="54"/>
      <c r="CD30" s="54"/>
      <c r="CE30" s="54"/>
      <c r="CF30" s="54"/>
      <c r="CG30" s="54"/>
      <c r="CH30" s="54"/>
      <c r="CI30" s="54"/>
      <c r="CJ30" s="54"/>
      <c r="CK30" s="54"/>
      <c r="CL30" s="54"/>
      <c r="CM30" s="54"/>
      <c r="CN30" s="60">
        <f>SUM(F30:CM30)</f>
      </c>
      <c r="CO30" s="58"/>
      <c r="CP30" s="59"/>
      <c r="CQ30" s="58"/>
    </row>
    <row customHeight="true" ht="17" r="31">
      <c r="A31" s="57" t="str">
        <v>Hand-poured Soy Candles</v>
      </c>
      <c r="B31" s="56" t="str">
        <v>Large</v>
      </c>
      <c r="C31" s="56" t="str">
        <v>Brown Sugar &amp; Fig</v>
      </c>
      <c r="D31" s="55">
        <v>40</v>
      </c>
      <c r="E31" s="55">
        <v>19.5</v>
      </c>
      <c r="F31" s="52"/>
      <c r="G31" s="52"/>
      <c r="H31" s="54"/>
      <c r="I31" s="53"/>
      <c r="J31" s="52"/>
      <c r="K31" s="52"/>
      <c r="L31" s="52">
        <v>2</v>
      </c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>
        <v>1</v>
      </c>
      <c r="AN31" s="52"/>
      <c r="AO31" s="52"/>
      <c r="AP31" s="52"/>
      <c r="AQ31" s="52">
        <v>2</v>
      </c>
      <c r="AR31" s="52"/>
      <c r="AS31" s="52"/>
      <c r="AT31" s="52">
        <v>1</v>
      </c>
      <c r="AU31" s="52"/>
      <c r="AV31" s="52"/>
      <c r="AW31" s="52"/>
      <c r="AX31" s="52"/>
      <c r="AY31" s="52"/>
      <c r="AZ31" s="52"/>
      <c r="BA31" s="52"/>
      <c r="BB31" s="52"/>
      <c r="BC31" s="52">
        <v>4</v>
      </c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/>
      <c r="CM31" s="52"/>
      <c r="CN31" s="60">
        <f>SUM(F31:CM31)</f>
      </c>
      <c r="CO31" s="58">
        <v>1</v>
      </c>
      <c r="CP31" s="59"/>
      <c r="CQ31" s="58"/>
    </row>
    <row customHeight="true" ht="17" r="32">
      <c r="A32" s="57" t="str">
        <v>Hand-poured Soy Candles</v>
      </c>
      <c r="B32" s="56" t="str">
        <v>Large</v>
      </c>
      <c r="C32" s="56" t="str">
        <v>Christmas Tree</v>
      </c>
      <c r="D32" s="55">
        <v>40</v>
      </c>
      <c r="E32" s="55">
        <v>19.5</v>
      </c>
      <c r="F32" s="52">
        <v>5</v>
      </c>
      <c r="G32" s="52"/>
      <c r="H32" s="54"/>
      <c r="I32" s="53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>
        <v>2</v>
      </c>
      <c r="AN32" s="54"/>
      <c r="AO32" s="54"/>
      <c r="AP32" s="54"/>
      <c r="AQ32" s="54">
        <v>3</v>
      </c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>
        <v>6</v>
      </c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>
        <v>1</v>
      </c>
      <c r="BO32" s="54"/>
      <c r="BP32" s="54"/>
      <c r="BQ32" s="54"/>
      <c r="BR32" s="54"/>
      <c r="BS32" s="54">
        <v>2</v>
      </c>
      <c r="BT32" s="54"/>
      <c r="BU32" s="54"/>
      <c r="BV32" s="54"/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/>
      <c r="CH32" s="54"/>
      <c r="CI32" s="54">
        <v>2</v>
      </c>
      <c r="CJ32" s="54"/>
      <c r="CK32" s="54"/>
      <c r="CL32" s="54"/>
      <c r="CM32" s="54"/>
      <c r="CN32" s="60">
        <f>SUM(F32:CM32)</f>
      </c>
      <c r="CO32" s="58">
        <v>3</v>
      </c>
      <c r="CP32" s="59"/>
      <c r="CQ32" s="58"/>
    </row>
    <row customHeight="true" ht="17" r="33">
      <c r="A33" s="57" t="str">
        <v>Hand-poured Soy Candles</v>
      </c>
      <c r="B33" s="56" t="str">
        <v>Large</v>
      </c>
      <c r="C33" s="56" t="str">
        <v>Citronella</v>
      </c>
      <c r="D33" s="55">
        <v>40</v>
      </c>
      <c r="E33" s="55">
        <v>19.5</v>
      </c>
      <c r="F33" s="52"/>
      <c r="G33" s="52"/>
      <c r="H33" s="54"/>
      <c r="I33" s="53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>
        <v>2</v>
      </c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>
        <v>4</v>
      </c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>
        <v>1</v>
      </c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60">
        <f>SUM(F33:CM33)</f>
      </c>
      <c r="CO33" s="58">
        <v>4</v>
      </c>
      <c r="CP33" s="59"/>
      <c r="CQ33" s="58"/>
    </row>
    <row customHeight="true" ht="17" r="34">
      <c r="A34" s="57" t="str">
        <v>Hand-poured Soy Candles</v>
      </c>
      <c r="B34" s="56" t="str">
        <v>Large</v>
      </c>
      <c r="C34" s="56" t="str">
        <v>Clean Cotton</v>
      </c>
      <c r="D34" s="55">
        <v>40</v>
      </c>
      <c r="E34" s="55">
        <v>19.5</v>
      </c>
      <c r="F34" s="52"/>
      <c r="G34" s="52"/>
      <c r="H34" s="54"/>
      <c r="I34" s="53"/>
      <c r="J34" s="54"/>
      <c r="K34" s="54"/>
      <c r="L34" s="54">
        <v>2</v>
      </c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>
        <v>2</v>
      </c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>
        <v>2</v>
      </c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60">
        <f>SUM(F34:CM34)</f>
      </c>
      <c r="CO34" s="58"/>
      <c r="CP34" s="59"/>
      <c r="CQ34" s="58"/>
    </row>
    <row customHeight="true" ht="17" r="35">
      <c r="A35" s="57" t="str">
        <v>Hand-poured Soy Candles</v>
      </c>
      <c r="B35" s="56" t="str">
        <v>Large</v>
      </c>
      <c r="C35" s="56" t="str">
        <v>Coffee &amp; Cream</v>
      </c>
      <c r="D35" s="55">
        <v>40</v>
      </c>
      <c r="E35" s="55">
        <v>19.5</v>
      </c>
      <c r="F35" s="52"/>
      <c r="G35" s="52"/>
      <c r="H35" s="54"/>
      <c r="I35" s="53"/>
      <c r="J35" s="54"/>
      <c r="K35" s="54"/>
      <c r="L35" s="54"/>
      <c r="M35" s="54"/>
      <c r="N35" s="54"/>
      <c r="O35" s="54"/>
      <c r="P35" s="54"/>
      <c r="Q35" s="54"/>
      <c r="R35" s="54"/>
      <c r="S35" s="54">
        <v>2</v>
      </c>
      <c r="T35" s="54"/>
      <c r="U35" s="54"/>
      <c r="V35" s="54"/>
      <c r="W35" s="54"/>
      <c r="X35" s="54"/>
      <c r="Y35" s="54"/>
      <c r="Z35" s="54"/>
      <c r="AA35" s="54">
        <v>-1</v>
      </c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4"/>
      <c r="CA35" s="54"/>
      <c r="CB35" s="54"/>
      <c r="CC35" s="54"/>
      <c r="CD35" s="54"/>
      <c r="CE35" s="54"/>
      <c r="CF35" s="54">
        <v>2</v>
      </c>
      <c r="CG35" s="54"/>
      <c r="CH35" s="54"/>
      <c r="CI35" s="54"/>
      <c r="CJ35" s="54"/>
      <c r="CK35" s="54"/>
      <c r="CL35" s="54"/>
      <c r="CM35" s="54"/>
      <c r="CN35" s="60">
        <f>SUM(F35:CM35)</f>
      </c>
      <c r="CO35" s="58">
        <v>1</v>
      </c>
      <c r="CP35" s="59"/>
      <c r="CQ35" s="58"/>
    </row>
    <row customHeight="true" ht="17" r="36">
      <c r="A36" s="57" t="str">
        <v>Hand-poured Soy Candles</v>
      </c>
      <c r="B36" s="56" t="str">
        <v>Large</v>
      </c>
      <c r="C36" s="56" t="str">
        <v>Desert Sunset</v>
      </c>
      <c r="D36" s="55">
        <v>40</v>
      </c>
      <c r="E36" s="55">
        <v>19.5</v>
      </c>
      <c r="F36" s="52"/>
      <c r="G36" s="52"/>
      <c r="H36" s="54"/>
      <c r="I36" s="53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>
        <v>2</v>
      </c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>
        <v>1</v>
      </c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60">
        <f>SUM(F36:CM36)</f>
      </c>
      <c r="CO36" s="58"/>
      <c r="CP36" s="59"/>
      <c r="CQ36" s="58"/>
    </row>
    <row customHeight="true" ht="17" r="37">
      <c r="A37" s="57" t="str">
        <v>Hand-poured Soy Candles</v>
      </c>
      <c r="B37" s="56" t="str">
        <v>Large</v>
      </c>
      <c r="C37" s="56" t="str">
        <v>Eucalyptus &amp; Mint</v>
      </c>
      <c r="D37" s="55">
        <v>40</v>
      </c>
      <c r="E37" s="55">
        <v>19.5</v>
      </c>
      <c r="F37" s="52">
        <v>4</v>
      </c>
      <c r="G37" s="52"/>
      <c r="H37" s="54"/>
      <c r="I37" s="53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>
        <v>2</v>
      </c>
      <c r="AN37" s="52"/>
      <c r="AO37" s="52"/>
      <c r="AP37" s="52"/>
      <c r="AQ37" s="52">
        <v>2</v>
      </c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>
        <v>6</v>
      </c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>
        <v>4</v>
      </c>
      <c r="CG37" s="52"/>
      <c r="CH37" s="52"/>
      <c r="CI37" s="52"/>
      <c r="CJ37" s="52"/>
      <c r="CK37" s="52"/>
      <c r="CL37" s="52"/>
      <c r="CM37" s="52"/>
      <c r="CN37" s="60">
        <f>SUM(F37:CM37)</f>
      </c>
      <c r="CO37" s="58">
        <v>4</v>
      </c>
      <c r="CP37" s="59"/>
      <c r="CQ37" s="58"/>
    </row>
    <row customHeight="true" ht="17" r="38">
      <c r="A38" s="57" t="str">
        <v>Hand-poured Soy Candles</v>
      </c>
      <c r="B38" s="56" t="str">
        <v>Large</v>
      </c>
      <c r="C38" s="56" t="str">
        <v>Forest Berry</v>
      </c>
      <c r="D38" s="55">
        <v>40</v>
      </c>
      <c r="E38" s="55">
        <v>19.5</v>
      </c>
      <c r="F38" s="52">
        <v>5</v>
      </c>
      <c r="G38" s="52"/>
      <c r="H38" s="54">
        <v>1</v>
      </c>
      <c r="I38" s="53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>
        <v>1</v>
      </c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>
        <v>3</v>
      </c>
      <c r="CG38" s="54"/>
      <c r="CH38" s="54"/>
      <c r="CI38" s="54"/>
      <c r="CJ38" s="54"/>
      <c r="CK38" s="54"/>
      <c r="CL38" s="54"/>
      <c r="CM38" s="54"/>
      <c r="CN38" s="60">
        <f>SUM(F38:CM38)</f>
      </c>
      <c r="CO38" s="58">
        <v>2</v>
      </c>
      <c r="CP38" s="59"/>
      <c r="CQ38" s="58"/>
    </row>
    <row customHeight="true" ht="17" r="39">
      <c r="A39" s="57" t="str">
        <v>Hand-poured Soy Candles</v>
      </c>
      <c r="B39" s="56" t="str">
        <v>Large</v>
      </c>
      <c r="C39" s="56" t="str">
        <v>French Vanilla</v>
      </c>
      <c r="D39" s="55">
        <v>40</v>
      </c>
      <c r="E39" s="55">
        <v>19.5</v>
      </c>
      <c r="F39" s="52">
        <v>1</v>
      </c>
      <c r="G39" s="52"/>
      <c r="H39" s="54"/>
      <c r="I39" s="53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>
        <v>2</v>
      </c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>
        <v>2</v>
      </c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>
        <v>1</v>
      </c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>
        <v>2</v>
      </c>
      <c r="CG39" s="54"/>
      <c r="CH39" s="54"/>
      <c r="CI39" s="54"/>
      <c r="CJ39" s="54"/>
      <c r="CK39" s="54"/>
      <c r="CL39" s="54"/>
      <c r="CM39" s="54"/>
      <c r="CN39" s="60">
        <f>SUM(F39:CM39)</f>
      </c>
      <c r="CO39" s="58">
        <v>2</v>
      </c>
      <c r="CP39" s="59"/>
      <c r="CQ39" s="58"/>
    </row>
    <row customHeight="true" ht="17" r="40">
      <c r="A40" s="57" t="str">
        <v>Hand-poured Soy Candles</v>
      </c>
      <c r="B40" s="56" t="str">
        <v>Large</v>
      </c>
      <c r="C40" s="56" t="str">
        <v>Island Coconut</v>
      </c>
      <c r="D40" s="55">
        <v>40</v>
      </c>
      <c r="E40" s="55">
        <v>19.5</v>
      </c>
      <c r="F40" s="52"/>
      <c r="G40" s="52"/>
      <c r="H40" s="54"/>
      <c r="I40" s="53"/>
      <c r="J40" s="54"/>
      <c r="K40" s="54"/>
      <c r="L40" s="54">
        <v>2</v>
      </c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>
        <v>2</v>
      </c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>
        <v>1</v>
      </c>
      <c r="AU40" s="54">
        <v>1</v>
      </c>
      <c r="AV40" s="54"/>
      <c r="AW40" s="54"/>
      <c r="AX40" s="54"/>
      <c r="AY40" s="54">
        <v>1</v>
      </c>
      <c r="AZ40" s="54"/>
      <c r="BA40" s="54"/>
      <c r="BB40" s="54"/>
      <c r="BC40" s="54">
        <v>4</v>
      </c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>
        <v>-1</v>
      </c>
      <c r="BU40" s="54"/>
      <c r="BV40" s="54"/>
      <c r="BW40" s="54"/>
      <c r="BX40" s="54"/>
      <c r="BY40" s="54"/>
      <c r="BZ40" s="54"/>
      <c r="CA40" s="54"/>
      <c r="CB40" s="54">
        <v>1</v>
      </c>
      <c r="CC40" s="54"/>
      <c r="CD40" s="54">
        <v>1</v>
      </c>
      <c r="CE40" s="54"/>
      <c r="CF40" s="54">
        <v>4</v>
      </c>
      <c r="CG40" s="54"/>
      <c r="CH40" s="54"/>
      <c r="CI40" s="54"/>
      <c r="CJ40" s="54"/>
      <c r="CK40" s="54"/>
      <c r="CL40" s="54"/>
      <c r="CM40" s="54"/>
      <c r="CN40" s="60">
        <f>SUM(F40:CM40)</f>
      </c>
      <c r="CO40" s="58">
        <v>3</v>
      </c>
      <c r="CP40" s="12"/>
      <c r="CQ40" s="58"/>
    </row>
    <row customHeight="true" ht="17" r="41">
      <c r="A41" s="57" t="str">
        <v>Hand-poured Soy Candles</v>
      </c>
      <c r="B41" s="56" t="str">
        <v>Large</v>
      </c>
      <c r="C41" s="56" t="str">
        <v>Island Driftwood</v>
      </c>
      <c r="D41" s="55">
        <v>40</v>
      </c>
      <c r="E41" s="55">
        <v>19.5</v>
      </c>
      <c r="F41" s="52">
        <v>5</v>
      </c>
      <c r="G41" s="52"/>
      <c r="H41" s="54"/>
      <c r="I41" s="53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>
        <v>1</v>
      </c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>
        <v>4</v>
      </c>
      <c r="CG41" s="54"/>
      <c r="CH41" s="54"/>
      <c r="CI41" s="54"/>
      <c r="CJ41" s="54"/>
      <c r="CK41" s="54"/>
      <c r="CL41" s="54"/>
      <c r="CM41" s="54"/>
      <c r="CN41" s="60">
        <f>SUM(F41:CM41)</f>
      </c>
      <c r="CO41" s="58">
        <v>3</v>
      </c>
      <c r="CP41" s="59"/>
      <c r="CQ41" s="58"/>
    </row>
    <row customHeight="true" ht="17" r="42">
      <c r="A42" s="57" t="str">
        <v>Hand-poured Soy Candles</v>
      </c>
      <c r="B42" s="56" t="str">
        <v>Large</v>
      </c>
      <c r="C42" s="56" t="str">
        <v>Lavender</v>
      </c>
      <c r="D42" s="55">
        <v>40</v>
      </c>
      <c r="E42" s="55">
        <v>19.5</v>
      </c>
      <c r="F42" s="52"/>
      <c r="G42" s="52"/>
      <c r="H42" s="54"/>
      <c r="I42" s="53"/>
      <c r="J42" s="54"/>
      <c r="K42" s="54"/>
      <c r="L42" s="54">
        <v>2</v>
      </c>
      <c r="M42" s="54"/>
      <c r="N42" s="54"/>
      <c r="O42" s="54"/>
      <c r="P42" s="54">
        <v>2</v>
      </c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60">
        <f>SUM(F42:CM42)</f>
      </c>
      <c r="CO42" s="58"/>
      <c r="CP42" s="59"/>
      <c r="CQ42" s="58"/>
    </row>
    <row customHeight="true" ht="17" r="43">
      <c r="A43" s="57" t="str">
        <v>Hand-poured Soy Candles</v>
      </c>
      <c r="B43" s="56" t="str">
        <v>Large</v>
      </c>
      <c r="C43" s="56" t="str">
        <v>Lemongrass Tea</v>
      </c>
      <c r="D43" s="55">
        <v>40</v>
      </c>
      <c r="E43" s="55">
        <v>19.5</v>
      </c>
      <c r="F43" s="52">
        <v>5</v>
      </c>
      <c r="G43" s="52"/>
      <c r="H43" s="54">
        <v>1</v>
      </c>
      <c r="I43" s="53"/>
      <c r="J43" s="54"/>
      <c r="K43" s="54"/>
      <c r="L43" s="54"/>
      <c r="M43" s="54"/>
      <c r="N43" s="54"/>
      <c r="O43" s="54"/>
      <c r="P43" s="54">
        <v>2</v>
      </c>
      <c r="Q43" s="54"/>
      <c r="R43" s="54"/>
      <c r="S43" s="54"/>
      <c r="T43" s="54"/>
      <c r="U43" s="54"/>
      <c r="V43" s="54">
        <v>3</v>
      </c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>
        <v>2</v>
      </c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>
        <v>6</v>
      </c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>
        <v>1</v>
      </c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60">
        <f>SUM(F43:CM43)</f>
      </c>
      <c r="CO43" s="58">
        <v>4</v>
      </c>
      <c r="CP43" s="59"/>
      <c r="CQ43" s="58"/>
    </row>
    <row customHeight="true" ht="17" r="44">
      <c r="A44" s="57" t="str">
        <v>Hand-poured Soy Candles</v>
      </c>
      <c r="B44" s="56" t="str">
        <v>Large</v>
      </c>
      <c r="C44" s="56" t="str">
        <v>Merry Mistletoe</v>
      </c>
      <c r="D44" s="55">
        <v>40</v>
      </c>
      <c r="E44" s="55">
        <v>19.5</v>
      </c>
      <c r="F44" s="52">
        <v>5</v>
      </c>
      <c r="G44" s="52"/>
      <c r="H44" s="54"/>
      <c r="I44" s="53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>
        <v>1</v>
      </c>
      <c r="Y44" s="54"/>
      <c r="Z44" s="54">
        <v>2</v>
      </c>
      <c r="AA44" s="54"/>
      <c r="AB44" s="54"/>
      <c r="AC44" s="54">
        <v>2</v>
      </c>
      <c r="AD44" s="54"/>
      <c r="AE44" s="54"/>
      <c r="AF44" s="54"/>
      <c r="AG44" s="54"/>
      <c r="AH44" s="54"/>
      <c r="AI44" s="54"/>
      <c r="AJ44" s="54"/>
      <c r="AK44" s="54"/>
      <c r="AL44" s="54"/>
      <c r="AM44" s="54">
        <v>4</v>
      </c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>
        <v>4</v>
      </c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>
        <v>3</v>
      </c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>
        <v>3</v>
      </c>
      <c r="CJ44" s="54"/>
      <c r="CK44" s="54"/>
      <c r="CL44" s="54"/>
      <c r="CM44" s="54"/>
      <c r="CN44" s="60">
        <f>SUM(F44:CM44)</f>
      </c>
      <c r="CO44" s="58">
        <v>4</v>
      </c>
      <c r="CP44" s="59"/>
      <c r="CQ44" s="58"/>
    </row>
    <row customHeight="true" ht="17" r="45">
      <c r="A45" s="57" t="str">
        <v>Hand-poured Soy Candles</v>
      </c>
      <c r="B45" s="56" t="str">
        <v>Large</v>
      </c>
      <c r="C45" s="56" t="str">
        <v>Mountain Rain</v>
      </c>
      <c r="D45" s="55">
        <v>40</v>
      </c>
      <c r="E45" s="55">
        <v>19.5</v>
      </c>
      <c r="F45" s="52">
        <v>6</v>
      </c>
      <c r="G45" s="52"/>
      <c r="H45" s="54"/>
      <c r="I45" s="53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>
        <v>2</v>
      </c>
      <c r="W45" s="54"/>
      <c r="X45" s="54"/>
      <c r="Y45" s="54"/>
      <c r="Z45" s="54"/>
      <c r="AA45" s="54"/>
      <c r="AB45" s="54"/>
      <c r="AC45" s="54">
        <v>4</v>
      </c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>
        <v>2</v>
      </c>
      <c r="AR45" s="54"/>
      <c r="AS45" s="54"/>
      <c r="AT45" s="54">
        <v>2</v>
      </c>
      <c r="AU45" s="54"/>
      <c r="AV45" s="54"/>
      <c r="AW45" s="54"/>
      <c r="AX45" s="54"/>
      <c r="AY45" s="54"/>
      <c r="AZ45" s="54"/>
      <c r="BA45" s="54"/>
      <c r="BB45" s="54"/>
      <c r="BC45" s="54">
        <v>4</v>
      </c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>
        <v>4</v>
      </c>
      <c r="CG45" s="54"/>
      <c r="CH45" s="54"/>
      <c r="CI45" s="54">
        <v>4</v>
      </c>
      <c r="CJ45" s="54"/>
      <c r="CK45" s="54"/>
      <c r="CL45" s="54"/>
      <c r="CM45" s="54"/>
      <c r="CN45" s="60">
        <f>SUM(F45:CM45)</f>
      </c>
      <c r="CO45" s="58"/>
      <c r="CP45" s="59"/>
      <c r="CQ45" s="58"/>
    </row>
    <row customHeight="true" ht="17" r="46">
      <c r="A46" s="57" t="str">
        <v>Hand-poured Soy Candles</v>
      </c>
      <c r="B46" s="56" t="str">
        <v>Large</v>
      </c>
      <c r="C46" s="56" t="str">
        <v>Sandalwood &amp; Citrus</v>
      </c>
      <c r="D46" s="55">
        <v>40</v>
      </c>
      <c r="E46" s="55">
        <v>19.5</v>
      </c>
      <c r="F46" s="52">
        <v>5</v>
      </c>
      <c r="G46" s="52"/>
      <c r="H46" s="54"/>
      <c r="I46" s="53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>
        <v>1</v>
      </c>
      <c r="U46" s="54"/>
      <c r="V46" s="54">
        <v>2</v>
      </c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>
        <v>1</v>
      </c>
      <c r="AH46" s="54"/>
      <c r="AI46" s="54"/>
      <c r="AJ46" s="54"/>
      <c r="AK46" s="54"/>
      <c r="AL46" s="54"/>
      <c r="AM46" s="54">
        <v>2</v>
      </c>
      <c r="AN46" s="54"/>
      <c r="AO46" s="54"/>
      <c r="AP46" s="54"/>
      <c r="AQ46" s="54"/>
      <c r="AR46" s="54"/>
      <c r="AS46" s="54"/>
      <c r="AT46" s="54">
        <v>2</v>
      </c>
      <c r="AU46" s="54">
        <v>1</v>
      </c>
      <c r="AV46" s="54">
        <v>1</v>
      </c>
      <c r="AW46" s="54"/>
      <c r="AX46" s="54">
        <v>1</v>
      </c>
      <c r="AY46" s="54"/>
      <c r="AZ46" s="54"/>
      <c r="BA46" s="54"/>
      <c r="BB46" s="54"/>
      <c r="BC46" s="54"/>
      <c r="BD46" s="54"/>
      <c r="BE46" s="54"/>
      <c r="BF46" s="54">
        <v>1</v>
      </c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>
        <v>4</v>
      </c>
      <c r="CG46" s="54"/>
      <c r="CH46" s="54"/>
      <c r="CI46" s="54"/>
      <c r="CJ46" s="54"/>
      <c r="CK46" s="54"/>
      <c r="CL46" s="54"/>
      <c r="CM46" s="54"/>
      <c r="CN46" s="60">
        <f>SUM(F46:CM46)</f>
      </c>
      <c r="CO46" s="58">
        <v>1</v>
      </c>
      <c r="CP46" s="59"/>
      <c r="CQ46" s="58"/>
    </row>
    <row customHeight="true" ht="17" r="47">
      <c r="A47" s="57" t="str">
        <v>Hand-poured Soy Candles</v>
      </c>
      <c r="B47" s="56" t="str">
        <v>Large</v>
      </c>
      <c r="C47" s="56" t="str">
        <v>Spice Market</v>
      </c>
      <c r="D47" s="55">
        <v>40</v>
      </c>
      <c r="E47" s="55">
        <v>19.5</v>
      </c>
      <c r="F47" s="52">
        <v>5</v>
      </c>
      <c r="G47" s="52"/>
      <c r="H47" s="54"/>
      <c r="I47" s="53"/>
      <c r="J47" s="54"/>
      <c r="K47" s="54"/>
      <c r="L47" s="54"/>
      <c r="M47" s="54"/>
      <c r="N47" s="54"/>
      <c r="O47" s="54"/>
      <c r="P47" s="54"/>
      <c r="Q47" s="54"/>
      <c r="R47" s="54"/>
      <c r="S47" s="54">
        <v>2</v>
      </c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>
        <v>1</v>
      </c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>
        <v>1</v>
      </c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>
        <v>1</v>
      </c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>
        <v>4</v>
      </c>
      <c r="CG47" s="54"/>
      <c r="CH47" s="54"/>
      <c r="CI47" s="54"/>
      <c r="CJ47" s="54"/>
      <c r="CK47" s="54"/>
      <c r="CL47" s="54"/>
      <c r="CM47" s="54"/>
      <c r="CN47" s="60">
        <f>SUM(F47:CM47)</f>
      </c>
      <c r="CO47" s="58">
        <v>3</v>
      </c>
      <c r="CP47" s="59"/>
      <c r="CQ47" s="58"/>
    </row>
    <row customHeight="true" ht="17" r="48">
      <c r="A48" s="57" t="str">
        <v>Hand-poured Soy Candles</v>
      </c>
      <c r="B48" s="56" t="str">
        <v>Large</v>
      </c>
      <c r="C48" s="56" t="str">
        <v>Vanilla &amp; Spice</v>
      </c>
      <c r="D48" s="55">
        <v>40</v>
      </c>
      <c r="E48" s="55">
        <v>19.5</v>
      </c>
      <c r="F48" s="52">
        <v>5</v>
      </c>
      <c r="G48" s="52"/>
      <c r="H48" s="54"/>
      <c r="I48" s="53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>
        <v>1</v>
      </c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>
        <v>1</v>
      </c>
      <c r="BN48" s="54"/>
      <c r="BO48" s="54"/>
      <c r="BP48" s="54"/>
      <c r="BQ48" s="54"/>
      <c r="BR48" s="54">
        <v>2</v>
      </c>
      <c r="BS48" s="54"/>
      <c r="BT48" s="54"/>
      <c r="BU48" s="54"/>
      <c r="BV48" s="54"/>
      <c r="BW48" s="54"/>
      <c r="BX48" s="54"/>
      <c r="BY48" s="54">
        <v>1</v>
      </c>
      <c r="BZ48" s="54"/>
      <c r="CA48" s="54"/>
      <c r="CB48" s="54"/>
      <c r="CC48" s="54"/>
      <c r="CD48" s="54"/>
      <c r="CE48" s="54"/>
      <c r="CF48" s="54">
        <v>4</v>
      </c>
      <c r="CG48" s="54"/>
      <c r="CH48" s="54"/>
      <c r="CI48" s="54"/>
      <c r="CJ48" s="54"/>
      <c r="CK48" s="54">
        <v>-1</v>
      </c>
      <c r="CL48" s="54"/>
      <c r="CM48" s="54"/>
      <c r="CN48" s="60">
        <f>SUM(F48:CM48)</f>
      </c>
      <c r="CO48" s="58">
        <v>2</v>
      </c>
      <c r="CP48" s="59"/>
      <c r="CQ48" s="58"/>
    </row>
    <row customHeight="true" ht="17" r="49">
      <c r="A49" s="57" t="str">
        <v>Hand-poured Soy Candles</v>
      </c>
      <c r="B49" s="56" t="str">
        <v>Large</v>
      </c>
      <c r="C49" s="56" t="str">
        <v>Whiskey River</v>
      </c>
      <c r="D49" s="55">
        <v>40</v>
      </c>
      <c r="E49" s="55">
        <v>19.5</v>
      </c>
      <c r="F49" s="52"/>
      <c r="G49" s="52"/>
      <c r="H49" s="54"/>
      <c r="I49" s="53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60">
        <f>SUM(F49:CM49)</f>
      </c>
      <c r="CO49" s="58"/>
      <c r="CP49" s="59"/>
      <c r="CQ49" s="58"/>
    </row>
    <row customHeight="true" ht="17" r="50">
      <c r="A50" s="57" t="str">
        <v>Hand-poured Soy Candles</v>
      </c>
      <c r="B50" s="56" t="str">
        <v>Large</v>
      </c>
      <c r="C50" s="56" t="str">
        <v>White Lily</v>
      </c>
      <c r="D50" s="55">
        <v>40</v>
      </c>
      <c r="E50" s="55">
        <v>19.5</v>
      </c>
      <c r="F50" s="52">
        <v>5</v>
      </c>
      <c r="G50" s="52"/>
      <c r="H50" s="54"/>
      <c r="I50" s="53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>
        <v>-1</v>
      </c>
      <c r="X50" s="54"/>
      <c r="Y50" s="54">
        <v>1</v>
      </c>
      <c r="Z50" s="54">
        <v>2</v>
      </c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>
        <v>4</v>
      </c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>
        <v>2</v>
      </c>
      <c r="BD50" s="54"/>
      <c r="BE50" s="54"/>
      <c r="BF50" s="54"/>
      <c r="BG50" s="54"/>
      <c r="BH50" s="54">
        <v>1</v>
      </c>
      <c r="BI50" s="54"/>
      <c r="BJ50" s="54"/>
      <c r="BK50" s="54">
        <v>1</v>
      </c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>
        <v>3</v>
      </c>
      <c r="CG50" s="54"/>
      <c r="CH50" s="54"/>
      <c r="CI50" s="54">
        <v>3</v>
      </c>
      <c r="CJ50" s="54"/>
      <c r="CK50" s="54"/>
      <c r="CL50" s="54"/>
      <c r="CM50" s="54"/>
      <c r="CN50" s="60">
        <f>SUM(F50:CM50)</f>
      </c>
      <c r="CO50" s="58">
        <v>3</v>
      </c>
      <c r="CP50" s="12"/>
      <c r="CQ50" s="58"/>
    </row>
    <row customHeight="true" ht="17" r="51">
      <c r="A51" s="57" t="str">
        <v>Hand-poured Soy Candles</v>
      </c>
      <c r="B51" s="56" t="str">
        <v>Large</v>
      </c>
      <c r="C51" s="56" t="str">
        <v>Wild Rose</v>
      </c>
      <c r="D51" s="55">
        <v>40</v>
      </c>
      <c r="E51" s="55">
        <v>19.5</v>
      </c>
      <c r="F51" s="52">
        <v>5</v>
      </c>
      <c r="G51" s="52"/>
      <c r="H51" s="54"/>
      <c r="I51" s="53"/>
      <c r="J51" s="52"/>
      <c r="K51" s="52"/>
      <c r="L51" s="52"/>
      <c r="M51" s="52"/>
      <c r="N51" s="52"/>
      <c r="O51" s="52"/>
      <c r="P51" s="52"/>
      <c r="Q51" s="52"/>
      <c r="R51" s="52"/>
      <c r="S51" s="52">
        <v>3</v>
      </c>
      <c r="T51" s="52"/>
      <c r="U51" s="52"/>
      <c r="V51" s="52">
        <v>3</v>
      </c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>
        <v>2</v>
      </c>
      <c r="BD51" s="52"/>
      <c r="BE51" s="52"/>
      <c r="BF51" s="52">
        <v>1</v>
      </c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>
        <v>4</v>
      </c>
      <c r="CG51" s="52"/>
      <c r="CH51" s="52"/>
      <c r="CI51" s="52"/>
      <c r="CJ51" s="52"/>
      <c r="CK51" s="52"/>
      <c r="CL51" s="52"/>
      <c r="CM51" s="52"/>
      <c r="CN51" s="60">
        <f>SUM(F51:CM51)</f>
      </c>
      <c r="CO51" s="58">
        <v>2</v>
      </c>
      <c r="CP51" s="59"/>
      <c r="CQ51" s="58"/>
    </row>
    <row customHeight="true" ht="17" r="52">
      <c r="A52" s="73"/>
      <c r="B52" s="72"/>
      <c r="C52" s="72"/>
      <c r="D52" s="74"/>
      <c r="E52" s="74"/>
      <c r="F52" s="70">
        <f>sum(F28:F51)</f>
      </c>
      <c r="G52" s="70">
        <f>sum(G28:G51)</f>
      </c>
      <c r="H52" s="70">
        <f>sum(H28:H51)</f>
      </c>
      <c r="I52" s="70">
        <f>sum(I28:I51)</f>
      </c>
      <c r="J52" s="70">
        <f>sum(J28:J51)</f>
      </c>
      <c r="K52" s="70">
        <f>sum(K28:K51)</f>
      </c>
      <c r="L52" s="70">
        <f>sum(L28:L51)</f>
      </c>
      <c r="M52" s="70">
        <f>sum(M28:M51)</f>
      </c>
      <c r="N52" s="70">
        <f>sum(N28:N51)</f>
      </c>
      <c r="O52" s="70">
        <f>sum(O28:O51)</f>
      </c>
      <c r="P52" s="70">
        <f>sum(P28:P51)</f>
      </c>
      <c r="Q52" s="70">
        <f>sum(Q28:Q51)</f>
      </c>
      <c r="R52" s="70">
        <f>sum(R28:R51)</f>
      </c>
      <c r="S52" s="70">
        <f>sum(S28:S51)</f>
      </c>
      <c r="T52" s="70">
        <f>sum(T28:T51)</f>
      </c>
      <c r="U52" s="70">
        <f>sum(U28:U51)</f>
      </c>
      <c r="V52" s="70">
        <f>sum(V28:V51)</f>
      </c>
      <c r="W52" s="70">
        <f>sum(W28:W51)</f>
      </c>
      <c r="X52" s="70">
        <f>sum(X28:X51)</f>
      </c>
      <c r="Y52" s="70">
        <f>sum(Y28:Y51)</f>
      </c>
      <c r="Z52" s="70">
        <f>sum(Z28:Z51)</f>
      </c>
      <c r="AA52" s="70">
        <f>sum(AA28:AA51)</f>
      </c>
      <c r="AB52" s="70">
        <f>sum(AB28:AB51)</f>
      </c>
      <c r="AC52" s="70">
        <f>sum(AC28:AC51)</f>
      </c>
      <c r="AD52" s="70">
        <f>sum(AD28:AD51)</f>
      </c>
      <c r="AE52" s="70">
        <f>sum(AE28:AE51)</f>
      </c>
      <c r="AF52" s="70">
        <f>sum(AF28:AF51)</f>
      </c>
      <c r="AG52" s="70">
        <f>sum(AG28:AG51)</f>
      </c>
      <c r="AH52" s="70">
        <f>sum(AH28:AH51)</f>
      </c>
      <c r="AI52" s="70">
        <f>sum(AI28:AI51)</f>
      </c>
      <c r="AJ52" s="70">
        <f>sum(AJ28:AJ51)</f>
      </c>
      <c r="AK52" s="70">
        <f>sum(AK28:AK51)</f>
      </c>
      <c r="AL52" s="70">
        <f>sum(AL28:AL51)</f>
      </c>
      <c r="AM52" s="70">
        <f>sum(AM28:AM51)</f>
      </c>
      <c r="AN52" s="70">
        <f>sum(AN28:AN51)</f>
      </c>
      <c r="AO52" s="70">
        <f>sum(AO28:AO51)</f>
      </c>
      <c r="AP52" s="70">
        <f>sum(AP28:AP51)</f>
      </c>
      <c r="AQ52" s="70">
        <f>sum(AQ28:AQ51)</f>
      </c>
      <c r="AR52" s="70">
        <f>sum(AR28:AR51)</f>
      </c>
      <c r="AS52" s="70">
        <f>sum(AS28:AS51)</f>
      </c>
      <c r="AT52" s="70">
        <f>sum(AT28:AT51)</f>
      </c>
      <c r="AU52" s="70">
        <f>sum(AU28:AU51)</f>
      </c>
      <c r="AV52" s="70">
        <f>sum(AV28:AV51)</f>
      </c>
      <c r="AW52" s="70">
        <f>sum(AW28:AW51)</f>
      </c>
      <c r="AX52" s="70">
        <f>sum(AX28:AX51)</f>
      </c>
      <c r="AY52" s="70">
        <f>sum(AY28:AY51)</f>
      </c>
      <c r="AZ52" s="70">
        <f>sum(AZ28:AZ51)</f>
      </c>
      <c r="BA52" s="70">
        <f>sum(BA28:BA51)</f>
      </c>
      <c r="BB52" s="70">
        <f>sum(BB28:BB51)</f>
      </c>
      <c r="BC52" s="70">
        <f>sum(BC28:BC51)</f>
      </c>
      <c r="BD52" s="70">
        <f>sum(BD28:BD51)</f>
      </c>
      <c r="BE52" s="70">
        <f>sum(BE28:BE51)</f>
      </c>
      <c r="BF52" s="70">
        <f>sum(BF28:BF51)</f>
      </c>
      <c r="BG52" s="70">
        <f>sum(BG28:BG51)</f>
      </c>
      <c r="BH52" s="70">
        <f>sum(BH28:BH51)</f>
      </c>
      <c r="BI52" s="70">
        <f>sum(BI28:BI51)</f>
      </c>
      <c r="BJ52" s="70">
        <f>sum(BJ28:BJ51)</f>
      </c>
      <c r="BK52" s="70">
        <f>sum(BK28:BK51)</f>
      </c>
      <c r="BL52" s="70">
        <f>sum(BL28:BL51)</f>
      </c>
      <c r="BM52" s="70">
        <f>sum(BM28:BM51)</f>
      </c>
      <c r="BN52" s="70">
        <f>sum(BN28:BN51)</f>
      </c>
      <c r="BO52" s="70">
        <f>sum(BO28:BO51)</f>
      </c>
      <c r="BP52" s="70">
        <f>sum(BP28:BP51)</f>
      </c>
      <c r="BQ52" s="70">
        <f>sum(BQ28:BQ51)</f>
      </c>
      <c r="BR52" s="70">
        <f>sum(BR28:BR51)</f>
      </c>
      <c r="BS52" s="70">
        <f>sum(BS28:BS51)</f>
      </c>
      <c r="BT52" s="70">
        <f>sum(BT28:BT51)</f>
      </c>
      <c r="BU52" s="70">
        <f>sum(BU28:BU51)</f>
      </c>
      <c r="BV52" s="70"/>
      <c r="BW52" s="70">
        <f>sum(BW28:BW51)</f>
      </c>
      <c r="BX52" s="70">
        <f>sum(BX28:BX51)</f>
      </c>
      <c r="BY52" s="70">
        <f>sum(BY28:BY51)</f>
      </c>
      <c r="BZ52" s="70">
        <f>sum(BZ28:BZ51)</f>
      </c>
      <c r="CA52" s="70">
        <f>sum(CA28:CA51)</f>
      </c>
      <c r="CB52" s="70">
        <f>sum(CB28:CB51)</f>
      </c>
      <c r="CC52" s="70">
        <f>sum(CC28:CC51)</f>
      </c>
      <c r="CD52" s="70">
        <f>sum(CD28:CD51)</f>
      </c>
      <c r="CE52" s="70">
        <f>sum(CE28:CE51)</f>
      </c>
      <c r="CF52" s="70">
        <f>sum(CF28:CF51)</f>
      </c>
      <c r="CG52" s="70">
        <f>sum(CG28:CG51)</f>
      </c>
      <c r="CH52" s="70">
        <f>sum(CH28:CH51)</f>
      </c>
      <c r="CI52" s="70">
        <f>sum(CI28:CI51)</f>
      </c>
      <c r="CJ52" s="70">
        <f>sum(CJ28:CJ51)</f>
      </c>
      <c r="CK52" s="70">
        <f>sum(CK28:CK51)</f>
      </c>
      <c r="CL52" s="70">
        <f>sum(CL28:CL51)</f>
      </c>
      <c r="CM52" s="70"/>
      <c r="CN52" s="70">
        <f>sum(CN28:CN51)</f>
      </c>
      <c r="CO52" s="70">
        <f>sum(CO28:CO51)</f>
      </c>
      <c r="CP52" s="70">
        <f>sum(CP28:CP51)</f>
      </c>
      <c r="CQ52" s="70">
        <f>sum(CQ28:CQ51)</f>
      </c>
    </row>
    <row customHeight="true" ht="17" r="53">
      <c r="A53" s="57" t="str">
        <v>Hand-poured Soy Candles</v>
      </c>
      <c r="B53" s="56" t="str">
        <v>Medium</v>
      </c>
      <c r="C53" s="56" t="str">
        <v>Amber &amp; Ash</v>
      </c>
      <c r="D53" s="55">
        <v>30</v>
      </c>
      <c r="E53" s="55">
        <v>13</v>
      </c>
      <c r="F53" s="52">
        <v>4</v>
      </c>
      <c r="G53" s="52"/>
      <c r="H53" s="54"/>
      <c r="I53" s="53"/>
      <c r="J53" s="54"/>
      <c r="K53" s="54"/>
      <c r="L53" s="54"/>
      <c r="M53" s="54"/>
      <c r="N53" s="54"/>
      <c r="O53" s="54">
        <v>2</v>
      </c>
      <c r="P53" s="54"/>
      <c r="Q53" s="54">
        <v>2</v>
      </c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>
        <v>2</v>
      </c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>
        <v>3</v>
      </c>
      <c r="CG53" s="54"/>
      <c r="CH53" s="54"/>
      <c r="CI53" s="54"/>
      <c r="CJ53" s="54"/>
      <c r="CK53" s="54"/>
      <c r="CL53" s="54"/>
      <c r="CM53" s="54"/>
      <c r="CN53" s="60">
        <f>SUM(F53:CM53)</f>
      </c>
      <c r="CO53" s="58">
        <v>2</v>
      </c>
      <c r="CP53" s="59"/>
      <c r="CQ53" s="58"/>
    </row>
    <row customHeight="true" ht="17" r="54">
      <c r="A54" s="57" t="str">
        <v>Hand-poured Soy Candles</v>
      </c>
      <c r="B54" s="56" t="str">
        <v>Medium</v>
      </c>
      <c r="C54" s="56" t="str">
        <v>Apple Blossom</v>
      </c>
      <c r="D54" s="55">
        <v>30</v>
      </c>
      <c r="E54" s="55">
        <v>13</v>
      </c>
      <c r="F54" s="52"/>
      <c r="G54" s="52"/>
      <c r="H54" s="54"/>
      <c r="I54" s="53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60">
        <f>SUM(F54:CM54)</f>
      </c>
      <c r="CO54" s="58"/>
      <c r="CP54" s="59"/>
      <c r="CQ54" s="58"/>
    </row>
    <row customHeight="true" ht="17" r="55">
      <c r="A55" s="57" t="str">
        <v>Hand-poured Soy Candles</v>
      </c>
      <c r="B55" s="56" t="str">
        <v>Medium</v>
      </c>
      <c r="C55" s="56" t="str">
        <v>Blue Hydrangea</v>
      </c>
      <c r="D55" s="55">
        <v>30</v>
      </c>
      <c r="E55" s="55">
        <v>13</v>
      </c>
      <c r="F55" s="52"/>
      <c r="G55" s="52"/>
      <c r="H55" s="54"/>
      <c r="I55" s="53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60">
        <f>SUM(F55:CM55)</f>
      </c>
      <c r="CO55" s="58"/>
      <c r="CP55" s="59"/>
      <c r="CQ55" s="58"/>
    </row>
    <row customHeight="true" ht="17" r="56">
      <c r="A56" s="57" t="str">
        <v>Hand-poured Soy Candles</v>
      </c>
      <c r="B56" s="56" t="str">
        <v>Medium</v>
      </c>
      <c r="C56" s="56" t="str">
        <v>Brown Sugar &amp; Fig</v>
      </c>
      <c r="D56" s="55">
        <v>30</v>
      </c>
      <c r="E56" s="55">
        <v>13</v>
      </c>
      <c r="F56" s="52">
        <v>2</v>
      </c>
      <c r="G56" s="52"/>
      <c r="H56" s="54"/>
      <c r="I56" s="53"/>
      <c r="J56" s="54"/>
      <c r="K56" s="54"/>
      <c r="L56" s="54">
        <v>2</v>
      </c>
      <c r="M56" s="54"/>
      <c r="N56" s="54"/>
      <c r="O56" s="54">
        <v>2</v>
      </c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>
        <v>2</v>
      </c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>
        <v>4</v>
      </c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60">
        <f>SUM(F56:CM56)</f>
      </c>
      <c r="CO56" s="58">
        <v>1</v>
      </c>
      <c r="CP56" s="59"/>
      <c r="CQ56" s="58"/>
    </row>
    <row customHeight="true" ht="17" r="57">
      <c r="A57" s="57" t="str">
        <v>Hand-poured Soy Candles</v>
      </c>
      <c r="B57" s="56" t="str">
        <v>Medium</v>
      </c>
      <c r="C57" s="56" t="str">
        <v>Christmas Tree</v>
      </c>
      <c r="D57" s="55">
        <v>30</v>
      </c>
      <c r="E57" s="55">
        <v>13</v>
      </c>
      <c r="F57" s="52">
        <v>3</v>
      </c>
      <c r="G57" s="52"/>
      <c r="H57" s="54"/>
      <c r="I57" s="53"/>
      <c r="J57" s="54"/>
      <c r="K57" s="54"/>
      <c r="L57" s="54"/>
      <c r="M57" s="54"/>
      <c r="N57" s="54"/>
      <c r="O57" s="54">
        <v>2</v>
      </c>
      <c r="P57" s="54"/>
      <c r="Q57" s="54">
        <v>4</v>
      </c>
      <c r="R57" s="54">
        <v>-2</v>
      </c>
      <c r="S57" s="54">
        <v>4</v>
      </c>
      <c r="T57" s="54"/>
      <c r="U57" s="54"/>
      <c r="V57" s="54"/>
      <c r="W57" s="54"/>
      <c r="X57" s="54"/>
      <c r="Y57" s="54"/>
      <c r="Z57" s="54"/>
      <c r="AA57" s="54"/>
      <c r="AB57" s="54">
        <v>-2</v>
      </c>
      <c r="AC57" s="54">
        <v>6</v>
      </c>
      <c r="AD57" s="54"/>
      <c r="AE57" s="54"/>
      <c r="AF57" s="54">
        <v>4</v>
      </c>
      <c r="AG57" s="54"/>
      <c r="AH57" s="54">
        <v>4</v>
      </c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>
        <v>5</v>
      </c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>
        <v>5</v>
      </c>
      <c r="CJ57" s="54"/>
      <c r="CK57" s="54"/>
      <c r="CL57" s="54"/>
      <c r="CM57" s="54"/>
      <c r="CN57" s="60">
        <f>SUM(F57:CM57)</f>
      </c>
      <c r="CO57" s="58">
        <v>8</v>
      </c>
      <c r="CP57" s="59"/>
      <c r="CQ57" s="58"/>
    </row>
    <row customHeight="true" ht="17" r="58">
      <c r="A58" s="57" t="str">
        <v>Hand-poured Soy Candles</v>
      </c>
      <c r="B58" s="56" t="str">
        <v>Medium</v>
      </c>
      <c r="C58" s="56" t="str">
        <v>Citronella</v>
      </c>
      <c r="D58" s="55">
        <v>30</v>
      </c>
      <c r="E58" s="55">
        <v>13</v>
      </c>
      <c r="F58" s="52">
        <v>1</v>
      </c>
      <c r="G58" s="52">
        <v>1</v>
      </c>
      <c r="H58" s="54"/>
      <c r="I58" s="53"/>
      <c r="J58" s="54"/>
      <c r="K58" s="54"/>
      <c r="L58" s="54"/>
      <c r="M58" s="54"/>
      <c r="N58" s="54"/>
      <c r="O58" s="54">
        <v>2</v>
      </c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>
        <v>1</v>
      </c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60">
        <f>SUM(F58:CM58)</f>
      </c>
      <c r="CO58" s="58">
        <v>1</v>
      </c>
      <c r="CP58" s="59"/>
      <c r="CQ58" s="58"/>
    </row>
    <row customHeight="true" ht="17" r="59">
      <c r="A59" s="57" t="str">
        <v>Hand-poured Soy Candles</v>
      </c>
      <c r="B59" s="56" t="str">
        <v>Medium</v>
      </c>
      <c r="C59" s="56" t="str" xml:space="preserve">
        <v>Clean Cotton </v>
      </c>
      <c r="D59" s="55">
        <v>30</v>
      </c>
      <c r="E59" s="55">
        <v>13</v>
      </c>
      <c r="F59" s="52"/>
      <c r="G59" s="52"/>
      <c r="H59" s="54"/>
      <c r="I59" s="53"/>
      <c r="J59" s="54"/>
      <c r="K59" s="54"/>
      <c r="L59" s="54">
        <v>2</v>
      </c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>
        <v>4</v>
      </c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60">
        <f>SUM(F59:CM59)</f>
      </c>
      <c r="CO59" s="58"/>
      <c r="CP59" s="59"/>
      <c r="CQ59" s="58"/>
    </row>
    <row customHeight="true" ht="17" r="60">
      <c r="A60" s="57" t="str">
        <v>Hand-poured Soy Candles</v>
      </c>
      <c r="B60" s="56" t="str">
        <v>Medium</v>
      </c>
      <c r="C60" s="56" t="str">
        <v>Coffee &amp; Cream</v>
      </c>
      <c r="D60" s="55">
        <v>30</v>
      </c>
      <c r="E60" s="55">
        <v>13</v>
      </c>
      <c r="F60" s="52"/>
      <c r="G60" s="52"/>
      <c r="H60" s="54"/>
      <c r="I60" s="53"/>
      <c r="J60" s="54"/>
      <c r="K60" s="54"/>
      <c r="L60" s="54"/>
      <c r="M60" s="54"/>
      <c r="N60" s="54"/>
      <c r="O60" s="54"/>
      <c r="P60" s="54"/>
      <c r="Q60" s="54"/>
      <c r="R60" s="54"/>
      <c r="S60" s="54">
        <v>2</v>
      </c>
      <c r="T60" s="54"/>
      <c r="U60" s="54">
        <v>-1</v>
      </c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>
        <v>5</v>
      </c>
      <c r="CJ60" s="54"/>
      <c r="CK60" s="54"/>
      <c r="CL60" s="54"/>
      <c r="CM60" s="54"/>
      <c r="CN60" s="60">
        <f>SUM(F60:CM60)</f>
      </c>
      <c r="CO60" s="58">
        <v>5</v>
      </c>
      <c r="CP60" s="59"/>
      <c r="CQ60" s="58"/>
    </row>
    <row customHeight="true" ht="17" r="61">
      <c r="A61" s="57" t="str">
        <v>Hand-poured Soy Candles</v>
      </c>
      <c r="B61" s="56" t="str">
        <v>Medium</v>
      </c>
      <c r="C61" s="56" t="str">
        <v>Desert Sunset</v>
      </c>
      <c r="D61" s="55">
        <v>30</v>
      </c>
      <c r="E61" s="55">
        <v>13</v>
      </c>
      <c r="F61" s="52"/>
      <c r="G61" s="52"/>
      <c r="H61" s="54"/>
      <c r="I61" s="53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>
        <v>4</v>
      </c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4"/>
      <c r="CI61" s="54"/>
      <c r="CJ61" s="54"/>
      <c r="CK61" s="54"/>
      <c r="CL61" s="54"/>
      <c r="CM61" s="54"/>
      <c r="CN61" s="60">
        <f>SUM(F61:CM61)</f>
      </c>
      <c r="CO61" s="58"/>
      <c r="CP61" s="59"/>
      <c r="CQ61" s="58"/>
    </row>
    <row customHeight="true" ht="17" r="62">
      <c r="A62" s="57" t="str">
        <v>Hand-poured Soy Candles</v>
      </c>
      <c r="B62" s="56" t="str">
        <v>Medium</v>
      </c>
      <c r="C62" s="56" t="str">
        <v>Eucalyptus &amp; Mint</v>
      </c>
      <c r="D62" s="55">
        <v>30</v>
      </c>
      <c r="E62" s="55">
        <v>13</v>
      </c>
      <c r="F62" s="52">
        <v>5</v>
      </c>
      <c r="G62" s="52"/>
      <c r="H62" s="54"/>
      <c r="I62" s="53"/>
      <c r="J62" s="54"/>
      <c r="K62" s="54"/>
      <c r="L62" s="54"/>
      <c r="M62" s="54"/>
      <c r="N62" s="54"/>
      <c r="O62" s="54">
        <v>3</v>
      </c>
      <c r="P62" s="54"/>
      <c r="Q62" s="54"/>
      <c r="R62" s="54"/>
      <c r="S62" s="54">
        <v>4</v>
      </c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>
        <v>3</v>
      </c>
      <c r="AR62" s="54"/>
      <c r="AS62" s="54"/>
      <c r="AT62" s="54">
        <v>3</v>
      </c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>
        <v>3</v>
      </c>
      <c r="BV62" s="54"/>
      <c r="BW62" s="54"/>
      <c r="BX62" s="54">
        <v>1</v>
      </c>
      <c r="BY62" s="54"/>
      <c r="BZ62" s="54"/>
      <c r="CA62" s="54"/>
      <c r="CB62" s="54"/>
      <c r="CC62" s="54"/>
      <c r="CD62" s="54"/>
      <c r="CE62" s="54"/>
      <c r="CF62" s="54">
        <v>3</v>
      </c>
      <c r="CG62" s="54"/>
      <c r="CH62" s="54"/>
      <c r="CI62" s="54"/>
      <c r="CJ62" s="54"/>
      <c r="CK62" s="54"/>
      <c r="CL62" s="54"/>
      <c r="CM62" s="54"/>
      <c r="CN62" s="60">
        <f>SUM(F62:CM62)</f>
      </c>
      <c r="CO62" s="58">
        <v>3</v>
      </c>
      <c r="CP62" s="59"/>
      <c r="CQ62" s="58"/>
    </row>
    <row customHeight="true" ht="17" r="63">
      <c r="A63" s="57" t="str">
        <v>Hand-poured Soy Candles</v>
      </c>
      <c r="B63" s="56" t="str">
        <v>Medium</v>
      </c>
      <c r="C63" s="56" t="str">
        <v>Forest Berry</v>
      </c>
      <c r="D63" s="55">
        <v>30</v>
      </c>
      <c r="E63" s="55">
        <v>13</v>
      </c>
      <c r="F63" s="52">
        <v>3</v>
      </c>
      <c r="G63" s="52"/>
      <c r="H63" s="54"/>
      <c r="I63" s="53"/>
      <c r="J63" s="54"/>
      <c r="K63" s="54">
        <v>1</v>
      </c>
      <c r="L63" s="54">
        <v>2</v>
      </c>
      <c r="M63" s="54"/>
      <c r="N63" s="54"/>
      <c r="O63" s="54">
        <v>3</v>
      </c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>
        <v>2</v>
      </c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4">
        <v>5</v>
      </c>
      <c r="CG63" s="54"/>
      <c r="CH63" s="54"/>
      <c r="CI63" s="54"/>
      <c r="CJ63" s="54"/>
      <c r="CK63" s="54"/>
      <c r="CL63" s="54"/>
      <c r="CM63" s="54"/>
      <c r="CN63" s="60">
        <f>SUM(F63:CM63)</f>
      </c>
      <c r="CO63" s="58">
        <v>5</v>
      </c>
      <c r="CP63" s="59"/>
      <c r="CQ63" s="58"/>
    </row>
    <row customHeight="true" ht="17" r="64">
      <c r="A64" s="57" t="str">
        <v>Hand-poured Soy Candles</v>
      </c>
      <c r="B64" s="56" t="str">
        <v>Medium</v>
      </c>
      <c r="C64" s="56" t="str">
        <v>French Vanilla</v>
      </c>
      <c r="D64" s="55">
        <v>30</v>
      </c>
      <c r="E64" s="55">
        <v>13</v>
      </c>
      <c r="F64" s="52">
        <v>1</v>
      </c>
      <c r="G64" s="52"/>
      <c r="H64" s="54"/>
      <c r="I64" s="53"/>
      <c r="J64" s="54"/>
      <c r="K64" s="54"/>
      <c r="L64" s="54"/>
      <c r="M64" s="54"/>
      <c r="N64" s="54"/>
      <c r="O64" s="54">
        <v>2</v>
      </c>
      <c r="P64" s="54"/>
      <c r="Q64" s="54"/>
      <c r="R64" s="54"/>
      <c r="S64" s="54">
        <v>2</v>
      </c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>
        <v>3</v>
      </c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>
        <v>5</v>
      </c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4">
        <v>2</v>
      </c>
      <c r="CG64" s="54"/>
      <c r="CH64" s="54"/>
      <c r="CI64" s="54"/>
      <c r="CJ64" s="54"/>
      <c r="CK64" s="54"/>
      <c r="CL64" s="54"/>
      <c r="CM64" s="54"/>
      <c r="CN64" s="60">
        <f>SUM(F64:CM64)</f>
      </c>
      <c r="CO64" s="58">
        <v>2</v>
      </c>
      <c r="CP64" s="59"/>
      <c r="CQ64" s="58"/>
    </row>
    <row customHeight="true" ht="17" r="65">
      <c r="A65" s="57" t="str">
        <v>Hand-poured Soy Candles</v>
      </c>
      <c r="B65" s="56" t="str">
        <v>Medium</v>
      </c>
      <c r="C65" s="56" t="str">
        <v>Island Coconut</v>
      </c>
      <c r="D65" s="55">
        <v>30</v>
      </c>
      <c r="E65" s="55">
        <v>13</v>
      </c>
      <c r="F65" s="52"/>
      <c r="G65" s="52"/>
      <c r="H65" s="54"/>
      <c r="I65" s="53"/>
      <c r="J65" s="54"/>
      <c r="K65" s="54"/>
      <c r="L65" s="54"/>
      <c r="M65" s="54"/>
      <c r="N65" s="54"/>
      <c r="O65" s="54">
        <v>2</v>
      </c>
      <c r="P65" s="54"/>
      <c r="Q65" s="54"/>
      <c r="R65" s="54"/>
      <c r="S65" s="54"/>
      <c r="T65" s="54"/>
      <c r="U65" s="54"/>
      <c r="V65" s="54">
        <v>2</v>
      </c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>
        <v>2</v>
      </c>
      <c r="AR65" s="54">
        <v>-2</v>
      </c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>
        <v>5</v>
      </c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60">
        <f>SUM(F65:CM65)</f>
      </c>
      <c r="CO65" s="58">
        <v>4</v>
      </c>
      <c r="CP65" s="12"/>
      <c r="CQ65" s="58"/>
    </row>
    <row customHeight="true" ht="17" r="66">
      <c r="A66" s="57" t="str">
        <v>Hand-poured Soy Candles</v>
      </c>
      <c r="B66" s="56" t="str">
        <v>Medium</v>
      </c>
      <c r="C66" s="56" t="str">
        <v>Island Driftwood</v>
      </c>
      <c r="D66" s="55">
        <v>30</v>
      </c>
      <c r="E66" s="55">
        <v>13</v>
      </c>
      <c r="F66" s="52">
        <v>3</v>
      </c>
      <c r="G66" s="52">
        <v>2</v>
      </c>
      <c r="H66" s="54"/>
      <c r="I66" s="53"/>
      <c r="J66" s="54"/>
      <c r="K66" s="54"/>
      <c r="L66" s="54">
        <v>2</v>
      </c>
      <c r="M66" s="54"/>
      <c r="N66" s="54"/>
      <c r="O66" s="54">
        <v>4</v>
      </c>
      <c r="P66" s="54"/>
      <c r="Q66" s="54"/>
      <c r="R66" s="54"/>
      <c r="S66" s="54"/>
      <c r="T66" s="54"/>
      <c r="U66" s="54"/>
      <c r="V66" s="54"/>
      <c r="W66" s="54"/>
      <c r="X66" s="54">
        <v>1</v>
      </c>
      <c r="Y66" s="54"/>
      <c r="Z66" s="54"/>
      <c r="AA66" s="54"/>
      <c r="AB66" s="54"/>
      <c r="AC66" s="54">
        <v>4</v>
      </c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>
        <v>1</v>
      </c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>
        <v>2</v>
      </c>
      <c r="CG66" s="54"/>
      <c r="CH66" s="54"/>
      <c r="CI66" s="54">
        <v>2</v>
      </c>
      <c r="CJ66" s="54"/>
      <c r="CK66" s="54"/>
      <c r="CL66" s="54"/>
      <c r="CM66" s="54"/>
      <c r="CN66" s="60">
        <f>SUM(F66:CM66)</f>
      </c>
      <c r="CO66" s="58">
        <v>5</v>
      </c>
      <c r="CP66" s="59"/>
      <c r="CQ66" s="58"/>
    </row>
    <row customHeight="true" ht="17" r="67">
      <c r="A67" s="57" t="str">
        <v>Hand-poured Soy Candles</v>
      </c>
      <c r="B67" s="56" t="str">
        <v>Medium</v>
      </c>
      <c r="C67" s="56" t="str">
        <v>Lavender</v>
      </c>
      <c r="D67" s="55">
        <v>30</v>
      </c>
      <c r="E67" s="55">
        <v>13</v>
      </c>
      <c r="F67" s="52"/>
      <c r="G67" s="52"/>
      <c r="H67" s="54"/>
      <c r="I67" s="53"/>
      <c r="J67" s="54"/>
      <c r="K67" s="54"/>
      <c r="L67" s="54"/>
      <c r="M67" s="54"/>
      <c r="N67" s="54"/>
      <c r="O67" s="54">
        <v>2</v>
      </c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>
        <v>2</v>
      </c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60">
        <f>SUM(F67:CM67)</f>
      </c>
      <c r="CO67" s="58"/>
      <c r="CP67" s="59"/>
      <c r="CQ67" s="58"/>
    </row>
    <row customHeight="true" ht="17" r="68">
      <c r="A68" s="57" t="str">
        <v>Hand-poured Soy Candles</v>
      </c>
      <c r="B68" s="56" t="str">
        <v>Medium</v>
      </c>
      <c r="C68" s="56" t="str">
        <v>Lemongrass Tea</v>
      </c>
      <c r="D68" s="55">
        <v>30</v>
      </c>
      <c r="E68" s="55">
        <v>13</v>
      </c>
      <c r="F68" s="52">
        <v>4</v>
      </c>
      <c r="G68" s="52"/>
      <c r="H68" s="54"/>
      <c r="I68" s="53"/>
      <c r="J68" s="54"/>
      <c r="K68" s="54"/>
      <c r="L68" s="54"/>
      <c r="M68" s="54"/>
      <c r="N68" s="54"/>
      <c r="O68" s="54">
        <v>2</v>
      </c>
      <c r="P68" s="54">
        <v>6</v>
      </c>
      <c r="Q68" s="54"/>
      <c r="R68" s="54"/>
      <c r="S68" s="54"/>
      <c r="T68" s="54"/>
      <c r="U68" s="54"/>
      <c r="V68" s="54">
        <v>2</v>
      </c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>
        <v>2</v>
      </c>
      <c r="AR68" s="54">
        <v>-2</v>
      </c>
      <c r="AS68" s="54"/>
      <c r="AT68" s="54">
        <v>3</v>
      </c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>
        <v>4</v>
      </c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>
        <v>5</v>
      </c>
      <c r="CG68" s="54"/>
      <c r="CH68" s="54"/>
      <c r="CI68" s="54"/>
      <c r="CJ68" s="54"/>
      <c r="CK68" s="54"/>
      <c r="CL68" s="54"/>
      <c r="CM68" s="54"/>
      <c r="CN68" s="60">
        <f>SUM(F68:CM68)</f>
      </c>
      <c r="CO68" s="58">
        <v>5</v>
      </c>
      <c r="CP68" s="59"/>
      <c r="CQ68" s="58"/>
    </row>
    <row customHeight="true" ht="17" r="69">
      <c r="A69" s="57" t="str">
        <v>Hand-poured Soy Candles</v>
      </c>
      <c r="B69" s="56" t="str">
        <v>Medium</v>
      </c>
      <c r="C69" s="56" t="str">
        <v>Matcha &amp; Bergamot</v>
      </c>
      <c r="D69" s="55">
        <v>30</v>
      </c>
      <c r="E69" s="55">
        <v>13</v>
      </c>
      <c r="F69" s="52"/>
      <c r="G69" s="52"/>
      <c r="H69" s="54"/>
      <c r="I69" s="53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/>
      <c r="BY69" s="54"/>
      <c r="BZ69" s="54"/>
      <c r="CA69" s="54"/>
      <c r="CB69" s="54"/>
      <c r="CC69" s="54"/>
      <c r="CD69" s="54"/>
      <c r="CE69" s="54"/>
      <c r="CF69" s="54"/>
      <c r="CG69" s="54"/>
      <c r="CH69" s="54"/>
      <c r="CI69" s="54">
        <v>5</v>
      </c>
      <c r="CJ69" s="54"/>
      <c r="CK69" s="54"/>
      <c r="CL69" s="54"/>
      <c r="CM69" s="54"/>
      <c r="CN69" s="60">
        <f>SUM(F69:CM69)</f>
      </c>
      <c r="CO69" s="58">
        <v>5</v>
      </c>
      <c r="CP69" s="7"/>
      <c r="CQ69" s="58"/>
    </row>
    <row customHeight="true" ht="17" r="70">
      <c r="A70" s="57" t="str">
        <v>Hand-poured Soy Candles</v>
      </c>
      <c r="B70" s="56" t="str">
        <v>Medium</v>
      </c>
      <c r="C70" s="56" t="str">
        <v>Merry Mistletoe</v>
      </c>
      <c r="D70" s="55">
        <v>30</v>
      </c>
      <c r="E70" s="55">
        <v>13</v>
      </c>
      <c r="F70" s="52">
        <v>3</v>
      </c>
      <c r="G70" s="52"/>
      <c r="H70" s="54"/>
      <c r="I70" s="53"/>
      <c r="J70" s="54"/>
      <c r="K70" s="54"/>
      <c r="L70" s="54"/>
      <c r="M70" s="54"/>
      <c r="N70" s="54"/>
      <c r="O70" s="54">
        <v>2</v>
      </c>
      <c r="P70" s="54"/>
      <c r="Q70" s="54">
        <v>2</v>
      </c>
      <c r="R70" s="54">
        <v>-3</v>
      </c>
      <c r="S70" s="54">
        <v>4</v>
      </c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>
        <v>4</v>
      </c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>
        <v>4</v>
      </c>
      <c r="BV70" s="54"/>
      <c r="BW70" s="54"/>
      <c r="BX70" s="54"/>
      <c r="BY70" s="54"/>
      <c r="BZ70" s="54"/>
      <c r="CA70" s="54"/>
      <c r="CB70" s="54"/>
      <c r="CC70" s="54"/>
      <c r="CD70" s="54"/>
      <c r="CE70" s="54"/>
      <c r="CF70" s="54">
        <v>3</v>
      </c>
      <c r="CG70" s="54"/>
      <c r="CH70" s="54">
        <v>-1</v>
      </c>
      <c r="CI70" s="54">
        <v>8</v>
      </c>
      <c r="CJ70" s="54"/>
      <c r="CK70" s="54"/>
      <c r="CL70" s="54"/>
      <c r="CM70" s="54"/>
      <c r="CN70" s="60">
        <f>SUM(F70:CM70)</f>
      </c>
      <c r="CO70" s="58">
        <v>7</v>
      </c>
      <c r="CP70" s="59"/>
      <c r="CQ70" s="58"/>
    </row>
    <row customHeight="true" ht="17" r="71">
      <c r="A71" s="57" t="str">
        <v>Hand-poured Soy Candles</v>
      </c>
      <c r="B71" s="56" t="str">
        <v>Medium</v>
      </c>
      <c r="C71" s="56" t="str">
        <v>Mountain Rain</v>
      </c>
      <c r="D71" s="55">
        <v>30</v>
      </c>
      <c r="E71" s="55">
        <v>13</v>
      </c>
      <c r="F71" s="52">
        <v>4</v>
      </c>
      <c r="G71" s="52"/>
      <c r="H71" s="54"/>
      <c r="I71" s="53"/>
      <c r="J71" s="54"/>
      <c r="K71" s="54"/>
      <c r="L71" s="54">
        <v>2</v>
      </c>
      <c r="M71" s="54"/>
      <c r="N71" s="54"/>
      <c r="O71" s="54">
        <v>5</v>
      </c>
      <c r="P71" s="54"/>
      <c r="Q71" s="54"/>
      <c r="R71" s="54"/>
      <c r="S71" s="54">
        <v>4</v>
      </c>
      <c r="T71" s="54"/>
      <c r="U71" s="54"/>
      <c r="V71" s="54">
        <v>1</v>
      </c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>
        <v>1</v>
      </c>
      <c r="AL71" s="54"/>
      <c r="AM71" s="54"/>
      <c r="AN71" s="54"/>
      <c r="AO71" s="54"/>
      <c r="AP71" s="54"/>
      <c r="AQ71" s="54">
        <v>2</v>
      </c>
      <c r="AR71" s="54"/>
      <c r="AS71" s="54"/>
      <c r="AT71" s="54">
        <v>5</v>
      </c>
      <c r="AU71" s="54"/>
      <c r="AV71" s="54"/>
      <c r="AW71" s="54"/>
      <c r="AX71" s="54"/>
      <c r="AY71" s="54"/>
      <c r="AZ71" s="54">
        <v>1</v>
      </c>
      <c r="BA71" s="54"/>
      <c r="BB71" s="54"/>
      <c r="BC71" s="54">
        <v>5</v>
      </c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4">
        <v>2</v>
      </c>
      <c r="CB71" s="54"/>
      <c r="CC71" s="54"/>
      <c r="CD71" s="54"/>
      <c r="CE71" s="54"/>
      <c r="CF71" s="54">
        <v>5</v>
      </c>
      <c r="CG71" s="54"/>
      <c r="CH71" s="54"/>
      <c r="CI71" s="54"/>
      <c r="CJ71" s="54"/>
      <c r="CK71" s="54"/>
      <c r="CL71" s="54"/>
      <c r="CM71" s="54"/>
      <c r="CN71" s="60">
        <f>SUM(F71:CM71)</f>
      </c>
      <c r="CO71" s="58">
        <v>2</v>
      </c>
      <c r="CP71" s="59"/>
      <c r="CQ71" s="58"/>
    </row>
    <row customHeight="true" ht="17" r="72">
      <c r="A72" s="57" t="str">
        <v>Hand-poured Soy Candles</v>
      </c>
      <c r="B72" s="56" t="str">
        <v>Medium</v>
      </c>
      <c r="C72" s="56" t="str">
        <v>Sandalwood &amp; Citrus</v>
      </c>
      <c r="D72" s="55">
        <v>30</v>
      </c>
      <c r="E72" s="55">
        <v>13</v>
      </c>
      <c r="F72" s="52">
        <v>5</v>
      </c>
      <c r="G72" s="52"/>
      <c r="H72" s="54"/>
      <c r="I72" s="53"/>
      <c r="J72" s="54"/>
      <c r="K72" s="54"/>
      <c r="L72" s="54"/>
      <c r="M72" s="54"/>
      <c r="N72" s="54"/>
      <c r="O72" s="54">
        <v>2</v>
      </c>
      <c r="P72" s="54"/>
      <c r="Q72" s="54"/>
      <c r="R72" s="54"/>
      <c r="S72" s="54">
        <v>2</v>
      </c>
      <c r="T72" s="54"/>
      <c r="U72" s="54"/>
      <c r="V72" s="54">
        <v>1</v>
      </c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>
        <v>5</v>
      </c>
      <c r="AR72" s="54"/>
      <c r="AS72" s="54"/>
      <c r="AT72" s="54">
        <v>4</v>
      </c>
      <c r="AU72" s="54"/>
      <c r="AV72" s="54"/>
      <c r="AW72" s="54"/>
      <c r="AX72" s="54"/>
      <c r="AY72" s="54"/>
      <c r="AZ72" s="54">
        <v>2</v>
      </c>
      <c r="BA72" s="54"/>
      <c r="BB72" s="54"/>
      <c r="BC72" s="54">
        <v>5</v>
      </c>
      <c r="BD72" s="54"/>
      <c r="BE72" s="54">
        <v>4</v>
      </c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>
        <v>2</v>
      </c>
      <c r="BV72" s="54"/>
      <c r="BW72" s="54"/>
      <c r="BX72" s="54">
        <v>1</v>
      </c>
      <c r="BY72" s="54"/>
      <c r="BZ72" s="54"/>
      <c r="CA72" s="54"/>
      <c r="CB72" s="54"/>
      <c r="CC72" s="54"/>
      <c r="CD72" s="54"/>
      <c r="CE72" s="54"/>
      <c r="CF72" s="54">
        <v>5</v>
      </c>
      <c r="CG72" s="54"/>
      <c r="CH72" s="54"/>
      <c r="CI72" s="54"/>
      <c r="CJ72" s="54"/>
      <c r="CK72" s="54"/>
      <c r="CL72" s="54"/>
      <c r="CM72" s="54"/>
      <c r="CN72" s="60">
        <f>SUM(F72:CM72)</f>
      </c>
      <c r="CO72" s="58">
        <v>4</v>
      </c>
      <c r="CP72" s="59"/>
      <c r="CQ72" s="58"/>
    </row>
    <row customHeight="true" ht="17" r="73">
      <c r="A73" s="57" t="str">
        <v>Hand-poured Soy Candles</v>
      </c>
      <c r="B73" s="56" t="str">
        <v>Medium</v>
      </c>
      <c r="C73" s="56" t="str">
        <v>Spice Market</v>
      </c>
      <c r="D73" s="55">
        <v>30</v>
      </c>
      <c r="E73" s="55">
        <v>13</v>
      </c>
      <c r="F73" s="52">
        <v>5</v>
      </c>
      <c r="G73" s="52"/>
      <c r="H73" s="54"/>
      <c r="I73" s="53"/>
      <c r="J73" s="54"/>
      <c r="K73" s="54"/>
      <c r="L73" s="54"/>
      <c r="M73" s="54"/>
      <c r="N73" s="54"/>
      <c r="O73" s="54">
        <v>2</v>
      </c>
      <c r="P73" s="54"/>
      <c r="Q73" s="54"/>
      <c r="R73" s="54"/>
      <c r="S73" s="54">
        <v>4</v>
      </c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>
        <v>5</v>
      </c>
      <c r="BV73" s="54"/>
      <c r="BW73" s="54"/>
      <c r="BX73" s="54"/>
      <c r="BY73" s="54"/>
      <c r="BZ73" s="54"/>
      <c r="CA73" s="54"/>
      <c r="CB73" s="54"/>
      <c r="CC73" s="54"/>
      <c r="CD73" s="54"/>
      <c r="CE73" s="54"/>
      <c r="CF73" s="54"/>
      <c r="CG73" s="54"/>
      <c r="CH73" s="54"/>
      <c r="CI73" s="54"/>
      <c r="CJ73" s="54"/>
      <c r="CK73" s="54"/>
      <c r="CL73" s="54"/>
      <c r="CM73" s="54"/>
      <c r="CN73" s="60">
        <f>SUM(F73:CM73)</f>
      </c>
      <c r="CO73" s="58">
        <v>4</v>
      </c>
      <c r="CP73" s="59"/>
      <c r="CQ73" s="58"/>
    </row>
    <row customHeight="true" ht="17" r="74">
      <c r="A74" s="57" t="str">
        <v>Hand-poured Soy Candles</v>
      </c>
      <c r="B74" s="56" t="str">
        <v>Medium</v>
      </c>
      <c r="C74" s="56" t="str">
        <v>Tonka &amp; Oud</v>
      </c>
      <c r="D74" s="55">
        <v>30</v>
      </c>
      <c r="E74" s="55">
        <v>13</v>
      </c>
      <c r="F74" s="52"/>
      <c r="G74" s="52"/>
      <c r="H74" s="54"/>
      <c r="I74" s="53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4"/>
      <c r="CI74" s="54">
        <v>5</v>
      </c>
      <c r="CJ74" s="54"/>
      <c r="CK74" s="54"/>
      <c r="CL74" s="54"/>
      <c r="CM74" s="54"/>
      <c r="CN74" s="60">
        <f>SUM(F74:CM74)</f>
      </c>
      <c r="CO74" s="58">
        <v>5</v>
      </c>
      <c r="CP74" s="7"/>
      <c r="CQ74" s="58"/>
    </row>
    <row customHeight="true" ht="17" r="75">
      <c r="A75" s="57" t="str">
        <v>Hand-poured Soy Candles</v>
      </c>
      <c r="B75" s="56" t="str">
        <v>Medium</v>
      </c>
      <c r="C75" s="56" t="str">
        <v>Vanilla &amp; Spice</v>
      </c>
      <c r="D75" s="55">
        <v>30</v>
      </c>
      <c r="E75" s="55">
        <v>13</v>
      </c>
      <c r="F75" s="52">
        <v>1</v>
      </c>
      <c r="G75" s="52"/>
      <c r="H75" s="54"/>
      <c r="I75" s="53"/>
      <c r="J75" s="54"/>
      <c r="K75" s="54"/>
      <c r="L75" s="54"/>
      <c r="M75" s="54">
        <v>1</v>
      </c>
      <c r="N75" s="54"/>
      <c r="O75" s="54">
        <v>2</v>
      </c>
      <c r="P75" s="54"/>
      <c r="Q75" s="54"/>
      <c r="R75" s="54"/>
      <c r="S75" s="54">
        <v>4</v>
      </c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>
        <v>4</v>
      </c>
      <c r="AN75" s="54"/>
      <c r="AO75" s="54"/>
      <c r="AP75" s="54"/>
      <c r="AQ75" s="54"/>
      <c r="AR75" s="54"/>
      <c r="AS75" s="54"/>
      <c r="AT75" s="54"/>
      <c r="AU75" s="54"/>
      <c r="AV75" s="54">
        <v>2</v>
      </c>
      <c r="AW75" s="54"/>
      <c r="AX75" s="54">
        <v>2</v>
      </c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4">
        <v>3</v>
      </c>
      <c r="CG75" s="54"/>
      <c r="CH75" s="54"/>
      <c r="CI75" s="54"/>
      <c r="CJ75" s="54"/>
      <c r="CK75" s="54"/>
      <c r="CL75" s="54"/>
      <c r="CM75" s="54"/>
      <c r="CN75" s="60">
        <f>SUM(F75:CM75)</f>
      </c>
      <c r="CO75" s="58">
        <v>2</v>
      </c>
      <c r="CP75" s="59"/>
      <c r="CQ75" s="58"/>
    </row>
    <row customHeight="true" ht="17" r="76">
      <c r="A76" s="57" t="str">
        <v>Hand-poured Soy Candles</v>
      </c>
      <c r="B76" s="56" t="str">
        <v>Medium</v>
      </c>
      <c r="C76" s="56" t="str">
        <v>Whiskey River</v>
      </c>
      <c r="D76" s="55">
        <v>30</v>
      </c>
      <c r="E76" s="55">
        <v>13</v>
      </c>
      <c r="F76" s="52"/>
      <c r="G76" s="52"/>
      <c r="H76" s="54"/>
      <c r="I76" s="53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4"/>
      <c r="CI76" s="54"/>
      <c r="CJ76" s="54"/>
      <c r="CK76" s="54"/>
      <c r="CL76" s="54"/>
      <c r="CM76" s="54"/>
      <c r="CN76" s="60">
        <f>SUM(F76:CM76)</f>
      </c>
      <c r="CO76" s="58"/>
      <c r="CP76" s="59"/>
      <c r="CQ76" s="58"/>
    </row>
    <row customHeight="true" ht="17" r="77">
      <c r="A77" s="57" t="str">
        <v>Hand-poured Soy Candles</v>
      </c>
      <c r="B77" s="56" t="str">
        <v>Medium</v>
      </c>
      <c r="C77" s="56" t="str">
        <v>White Lily</v>
      </c>
      <c r="D77" s="55">
        <v>30</v>
      </c>
      <c r="E77" s="55">
        <v>13</v>
      </c>
      <c r="F77" s="52">
        <v>4</v>
      </c>
      <c r="G77" s="52"/>
      <c r="H77" s="54"/>
      <c r="I77" s="53">
        <v>-1</v>
      </c>
      <c r="J77" s="54"/>
      <c r="K77" s="54"/>
      <c r="L77" s="54"/>
      <c r="M77" s="54"/>
      <c r="N77" s="54">
        <v>1</v>
      </c>
      <c r="O77" s="54">
        <v>2</v>
      </c>
      <c r="P77" s="54">
        <v>4</v>
      </c>
      <c r="Q77" s="54"/>
      <c r="R77" s="54"/>
      <c r="S77" s="54">
        <v>4</v>
      </c>
      <c r="T77" s="54"/>
      <c r="U77" s="54"/>
      <c r="V77" s="54"/>
      <c r="W77" s="54">
        <v>-1</v>
      </c>
      <c r="X77" s="54"/>
      <c r="Y77" s="54"/>
      <c r="Z77" s="54"/>
      <c r="AA77" s="54"/>
      <c r="AB77" s="54"/>
      <c r="AC77" s="54">
        <v>2</v>
      </c>
      <c r="AD77" s="54"/>
      <c r="AE77" s="54"/>
      <c r="AF77" s="54"/>
      <c r="AG77" s="54"/>
      <c r="AH77" s="54">
        <v>3</v>
      </c>
      <c r="AI77" s="54"/>
      <c r="AJ77" s="54"/>
      <c r="AK77" s="54"/>
      <c r="AL77" s="54"/>
      <c r="AM77" s="54">
        <v>4</v>
      </c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>
        <v>4</v>
      </c>
      <c r="BA77" s="54"/>
      <c r="BB77" s="54"/>
      <c r="BC77" s="54">
        <v>5</v>
      </c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>
        <v>4</v>
      </c>
      <c r="CG77" s="54"/>
      <c r="CH77" s="54"/>
      <c r="CI77" s="54"/>
      <c r="CJ77" s="54"/>
      <c r="CK77" s="54"/>
      <c r="CL77" s="54"/>
      <c r="CM77" s="54"/>
      <c r="CN77" s="60">
        <f>SUM(F77:CM77)</f>
      </c>
      <c r="CO77" s="58">
        <v>5</v>
      </c>
      <c r="CP77" s="7"/>
      <c r="CQ77" s="58"/>
    </row>
    <row customHeight="true" ht="17" r="78">
      <c r="A78" s="57" t="str">
        <v>Hand-poured Soy Candles</v>
      </c>
      <c r="B78" s="56" t="str">
        <v>Medium</v>
      </c>
      <c r="C78" s="56" t="str">
        <v>Wild Rose</v>
      </c>
      <c r="D78" s="55">
        <v>30</v>
      </c>
      <c r="E78" s="55">
        <v>13</v>
      </c>
      <c r="F78" s="52">
        <v>5</v>
      </c>
      <c r="G78" s="52"/>
      <c r="H78" s="54"/>
      <c r="I78" s="53"/>
      <c r="J78" s="52"/>
      <c r="K78" s="52"/>
      <c r="L78" s="52"/>
      <c r="M78" s="52"/>
      <c r="N78" s="52"/>
      <c r="O78" s="52">
        <v>2</v>
      </c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>
        <v>2</v>
      </c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>
        <v>2</v>
      </c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>
        <v>1</v>
      </c>
      <c r="CA78" s="52"/>
      <c r="CB78" s="52"/>
      <c r="CC78" s="52"/>
      <c r="CD78" s="52"/>
      <c r="CE78" s="52"/>
      <c r="CF78" s="52">
        <v>3</v>
      </c>
      <c r="CG78" s="52"/>
      <c r="CH78" s="52"/>
      <c r="CI78" s="52"/>
      <c r="CJ78" s="52"/>
      <c r="CK78" s="52"/>
      <c r="CL78" s="52"/>
      <c r="CM78" s="52"/>
      <c r="CN78" s="60">
        <f>SUM(F78:CM78)</f>
      </c>
      <c r="CO78" s="58">
        <v>5</v>
      </c>
      <c r="CP78" s="59"/>
      <c r="CQ78" s="58"/>
    </row>
    <row customHeight="true" ht="17" r="79">
      <c r="A79" s="73"/>
      <c r="B79" s="72"/>
      <c r="C79" s="72"/>
      <c r="D79" s="74"/>
      <c r="E79" s="74"/>
      <c r="F79" s="75"/>
      <c r="G79" s="75"/>
      <c r="H79" s="76"/>
      <c r="I79" s="71"/>
      <c r="J79" s="71"/>
      <c r="K79" s="71"/>
      <c r="L79" s="70">
        <f>sum(L53:L78)</f>
      </c>
      <c r="M79" s="70">
        <f>sum(M53:M78)</f>
      </c>
      <c r="N79" s="71">
        <f>sum(N53:N78)</f>
      </c>
      <c r="O79" s="70">
        <f>sum(O53:O78)</f>
      </c>
      <c r="P79" s="70">
        <f>sum(P53:P78)</f>
      </c>
      <c r="Q79" s="70">
        <f>sum(Q53:Q78)</f>
      </c>
      <c r="R79" s="70">
        <f>sum(R53:R78)</f>
      </c>
      <c r="S79" s="70">
        <f>sum(S53:S78)</f>
      </c>
      <c r="T79" s="70">
        <f>sum(T53:T78)</f>
      </c>
      <c r="U79" s="70">
        <f>sum(U53:U78)</f>
      </c>
      <c r="V79" s="70">
        <f>sum(V53:V78)</f>
      </c>
      <c r="W79" s="70">
        <f>sum(W53:W78)</f>
      </c>
      <c r="X79" s="70">
        <f>sum(X53:X78)</f>
      </c>
      <c r="Y79" s="70">
        <f>sum(Y53:Y78)</f>
      </c>
      <c r="Z79" s="70">
        <f>sum(Z53:Z78)</f>
      </c>
      <c r="AA79" s="70">
        <f>sum(AA53:AA78)</f>
      </c>
      <c r="AB79" s="70">
        <f>sum(AB53:AB78)</f>
      </c>
      <c r="AC79" s="70">
        <f>sum(AC53:AC78)</f>
      </c>
      <c r="AD79" s="70">
        <f>sum(AD53:AD78)</f>
      </c>
      <c r="AE79" s="70">
        <f>sum(AE53:AE78)</f>
      </c>
      <c r="AF79" s="70">
        <f>sum(AF53:AF78)</f>
      </c>
      <c r="AG79" s="70">
        <f>sum(AG53:AG78)</f>
      </c>
      <c r="AH79" s="70">
        <f>sum(AH53:AH78)</f>
      </c>
      <c r="AI79" s="70">
        <f>sum(AI53:AI78)</f>
      </c>
      <c r="AJ79" s="70">
        <f>sum(AJ53:AJ78)</f>
      </c>
      <c r="AK79" s="70">
        <f>sum(AK53:AK78)</f>
      </c>
      <c r="AL79" s="70">
        <f>sum(AL53:AL78)</f>
      </c>
      <c r="AM79" s="70">
        <f>sum(AM53:AM78)</f>
      </c>
      <c r="AN79" s="70">
        <f>sum(AN53:AN78)</f>
      </c>
      <c r="AO79" s="70">
        <f>sum(AO53:AO78)</f>
      </c>
      <c r="AP79" s="70">
        <f>sum(AP53:AP78)</f>
      </c>
      <c r="AQ79" s="70">
        <f>sum(AQ53:AQ78)</f>
      </c>
      <c r="AR79" s="70">
        <f>sum(AR53:AR78)</f>
      </c>
      <c r="AS79" s="70">
        <f>sum(AS53:AS78)</f>
      </c>
      <c r="AT79" s="70">
        <f>sum(AT53:AT78)</f>
      </c>
      <c r="AU79" s="70">
        <f>sum(AU53:AU78)</f>
      </c>
      <c r="AV79" s="70">
        <f>sum(AV53:AV78)</f>
      </c>
      <c r="AW79" s="70">
        <f>sum(AW53:AW78)</f>
      </c>
      <c r="AX79" s="70">
        <f>sum(AX53:AX78)</f>
      </c>
      <c r="AY79" s="70">
        <f>sum(AY53:AY78)</f>
      </c>
      <c r="AZ79" s="70">
        <f>sum(AZ53:AZ78)</f>
      </c>
      <c r="BA79" s="70">
        <f>sum(BA53:BA78)</f>
      </c>
      <c r="BB79" s="70">
        <f>sum(BB53:BB78)</f>
      </c>
      <c r="BC79" s="70">
        <f>sum(BC53:BC78)</f>
      </c>
      <c r="BD79" s="70">
        <f>sum(BD53:BD78)</f>
      </c>
      <c r="BE79" s="70">
        <f>sum(BE53:BE78)</f>
      </c>
      <c r="BF79" s="70">
        <f>sum(BF53:BF78)</f>
      </c>
      <c r="BG79" s="70">
        <f>sum(BG53:BG78)</f>
      </c>
      <c r="BH79" s="70">
        <f>sum(BH53:BH78)</f>
      </c>
      <c r="BI79" s="70">
        <f>sum(BI53:BI78)</f>
      </c>
      <c r="BJ79" s="70">
        <f>sum(BJ53:BJ78)</f>
      </c>
      <c r="BK79" s="70">
        <f>sum(BK53:BK78)</f>
      </c>
      <c r="BL79" s="70">
        <f>sum(BL53:BL78)</f>
      </c>
      <c r="BM79" s="70">
        <f>sum(BM53:BM78)</f>
      </c>
      <c r="BN79" s="70">
        <f>sum(BN53:BN78)</f>
      </c>
      <c r="BO79" s="70">
        <f>sum(BO53:BO78)</f>
      </c>
      <c r="BP79" s="70">
        <f>sum(BP53:BP78)</f>
      </c>
      <c r="BQ79" s="70">
        <f>sum(BQ53:BQ78)</f>
      </c>
      <c r="BR79" s="70">
        <f>sum(BR53:BR78)</f>
      </c>
      <c r="BS79" s="70">
        <f>sum(BS53:BS78)</f>
      </c>
      <c r="BT79" s="70">
        <f>sum(BT53:BT78)</f>
      </c>
      <c r="BU79" s="70">
        <f>sum(BU53:BU78)</f>
      </c>
      <c r="BV79" s="70"/>
      <c r="BW79" s="70">
        <f>sum(BW53:BW78)</f>
      </c>
      <c r="BX79" s="70">
        <f>sum(BX53:BX78)</f>
      </c>
      <c r="BY79" s="70">
        <f>sum(BY53:BY78)</f>
      </c>
      <c r="BZ79" s="70">
        <f>sum(BZ53:BZ78)</f>
      </c>
      <c r="CA79" s="70">
        <f>sum(CA53:CA78)</f>
      </c>
      <c r="CB79" s="70">
        <f>sum(CB53:CB78)</f>
      </c>
      <c r="CC79" s="70">
        <f>sum(CC53:CC78)</f>
      </c>
      <c r="CD79" s="70">
        <f>sum(CD53:CD78)</f>
      </c>
      <c r="CE79" s="70">
        <f>sum(CE53:CE78)</f>
      </c>
      <c r="CF79" s="70">
        <f>sum(CF53:CF78)</f>
      </c>
      <c r="CG79" s="70">
        <f>sum(CG53:CG78)</f>
      </c>
      <c r="CH79" s="70">
        <f>sum(CH53:CH78)</f>
      </c>
      <c r="CI79" s="70">
        <f>sum(CI53:CI78)</f>
      </c>
      <c r="CJ79" s="70">
        <f>sum(CJ53:CJ78)</f>
      </c>
      <c r="CK79" s="70">
        <f>sum(CK53:CK78)</f>
      </c>
      <c r="CL79" s="70">
        <f>sum(CL53:CL78)</f>
      </c>
      <c r="CM79" s="70"/>
      <c r="CN79" s="70">
        <f>sum(CN53:CN78)</f>
      </c>
      <c r="CO79" s="70">
        <f>sum(CO53:CO78)</f>
      </c>
      <c r="CP79" s="70">
        <f>sum(CP53:CP78)</f>
      </c>
      <c r="CQ79" s="70">
        <f>sum(CQ53:CQ78)</f>
      </c>
    </row>
    <row customHeight="true" ht="17" r="80">
      <c r="A80" s="57" t="str">
        <v>Hand-poured Soy Candles</v>
      </c>
      <c r="B80" s="56" t="str">
        <v>Small</v>
      </c>
      <c r="C80" s="56" t="str">
        <v>Amber &amp; Ash</v>
      </c>
      <c r="D80" s="55">
        <v>18</v>
      </c>
      <c r="E80" s="55">
        <v>6.5</v>
      </c>
      <c r="F80" s="52">
        <v>3</v>
      </c>
      <c r="G80" s="52"/>
      <c r="H80" s="54"/>
      <c r="I80" s="53"/>
      <c r="J80" s="54"/>
      <c r="K80" s="54"/>
      <c r="L80" s="54"/>
      <c r="M80" s="54"/>
      <c r="N80" s="54"/>
      <c r="O80" s="54"/>
      <c r="P80" s="54"/>
      <c r="Q80" s="54">
        <v>4</v>
      </c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>
        <v>3</v>
      </c>
      <c r="AU80" s="54"/>
      <c r="AV80" s="54"/>
      <c r="AW80" s="54"/>
      <c r="AX80" s="54"/>
      <c r="AY80" s="54"/>
      <c r="AZ80" s="54"/>
      <c r="BA80" s="54"/>
      <c r="BB80" s="54"/>
      <c r="BC80" s="54">
        <v>2</v>
      </c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  <c r="CD80" s="54"/>
      <c r="CE80" s="54">
        <v>-5</v>
      </c>
      <c r="CF80" s="54">
        <v>5</v>
      </c>
      <c r="CG80" s="54"/>
      <c r="CH80" s="54"/>
      <c r="CI80" s="54"/>
      <c r="CJ80" s="54"/>
      <c r="CK80" s="54"/>
      <c r="CL80" s="54"/>
      <c r="CM80" s="54"/>
      <c r="CN80" s="60">
        <f>SUM(F80:CM80)</f>
      </c>
      <c r="CO80" s="58">
        <v>3</v>
      </c>
      <c r="CP80" s="59"/>
      <c r="CQ80" s="58"/>
    </row>
    <row customHeight="true" ht="17" r="81">
      <c r="A81" s="57" t="str">
        <v>Hand-poured Soy Candles</v>
      </c>
      <c r="B81" s="56" t="str">
        <v>Small</v>
      </c>
      <c r="C81" s="56" t="str">
        <v>Apple Blossom</v>
      </c>
      <c r="D81" s="55">
        <v>18</v>
      </c>
      <c r="E81" s="55">
        <v>6.5</v>
      </c>
      <c r="F81" s="52"/>
      <c r="G81" s="52"/>
      <c r="H81" s="54"/>
      <c r="I81" s="53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4"/>
      <c r="CI81" s="54"/>
      <c r="CJ81" s="54"/>
      <c r="CK81" s="54"/>
      <c r="CL81" s="54"/>
      <c r="CM81" s="54"/>
      <c r="CN81" s="60">
        <f>SUM(F81:CM81)</f>
      </c>
      <c r="CO81" s="58"/>
      <c r="CP81" s="59"/>
      <c r="CQ81" s="58"/>
    </row>
    <row customHeight="true" ht="17" r="82">
      <c r="A82" s="57" t="str">
        <v>Hand-poured Soy Candles</v>
      </c>
      <c r="B82" s="56" t="str">
        <v>Small</v>
      </c>
      <c r="C82" s="56" t="str">
        <v>Blue Hydrangea</v>
      </c>
      <c r="D82" s="55">
        <v>18</v>
      </c>
      <c r="E82" s="55">
        <v>6.5</v>
      </c>
      <c r="F82" s="52"/>
      <c r="G82" s="52"/>
      <c r="H82" s="54"/>
      <c r="I82" s="53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60">
        <f>SUM(F82:CM82)</f>
      </c>
      <c r="CO82" s="58"/>
      <c r="CP82" s="59"/>
      <c r="CQ82" s="58"/>
    </row>
    <row customHeight="true" ht="17" r="83">
      <c r="A83" s="57" t="str">
        <v>Hand-poured Soy Candles</v>
      </c>
      <c r="B83" s="56" t="str">
        <v>Small</v>
      </c>
      <c r="C83" s="56" t="str">
        <v>Brown Sugar &amp; Fig</v>
      </c>
      <c r="D83" s="55">
        <v>18</v>
      </c>
      <c r="E83" s="55">
        <v>6.5</v>
      </c>
      <c r="F83" s="52"/>
      <c r="G83" s="52"/>
      <c r="H83" s="54"/>
      <c r="I83" s="53"/>
      <c r="J83" s="54"/>
      <c r="K83" s="54"/>
      <c r="L83" s="54">
        <v>2</v>
      </c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>
        <v>2</v>
      </c>
      <c r="AN83" s="54"/>
      <c r="AO83" s="54"/>
      <c r="AP83" s="54"/>
      <c r="AQ83" s="54"/>
      <c r="AR83" s="54"/>
      <c r="AS83" s="54"/>
      <c r="AT83" s="54">
        <v>3</v>
      </c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60">
        <f>SUM(F83:CM83)</f>
      </c>
      <c r="CO83" s="58">
        <v>2</v>
      </c>
      <c r="CP83" s="59"/>
      <c r="CQ83" s="58"/>
    </row>
    <row customHeight="true" ht="17" r="84">
      <c r="A84" s="57" t="str">
        <v>Hand-poured Soy Candles</v>
      </c>
      <c r="B84" s="56" t="str">
        <v>Small</v>
      </c>
      <c r="C84" s="56" t="str">
        <v>Christmas Tree</v>
      </c>
      <c r="D84" s="55">
        <v>18</v>
      </c>
      <c r="E84" s="55">
        <v>6.5</v>
      </c>
      <c r="F84" s="52">
        <v>3</v>
      </c>
      <c r="G84" s="52"/>
      <c r="H84" s="54"/>
      <c r="I84" s="53"/>
      <c r="J84" s="54"/>
      <c r="K84" s="54"/>
      <c r="L84" s="54"/>
      <c r="M84" s="54"/>
      <c r="N84" s="54"/>
      <c r="O84" s="54"/>
      <c r="P84" s="54"/>
      <c r="Q84" s="54">
        <v>4</v>
      </c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>
        <v>6</v>
      </c>
      <c r="AD84" s="54"/>
      <c r="AE84" s="54"/>
      <c r="AF84" s="54"/>
      <c r="AG84" s="54">
        <v>1</v>
      </c>
      <c r="AH84" s="54"/>
      <c r="AI84" s="54"/>
      <c r="AJ84" s="54"/>
      <c r="AK84" s="54"/>
      <c r="AL84" s="54"/>
      <c r="AM84" s="54"/>
      <c r="AN84" s="54"/>
      <c r="AO84" s="54">
        <v>2</v>
      </c>
      <c r="AP84" s="54"/>
      <c r="AQ84" s="54"/>
      <c r="AR84" s="54"/>
      <c r="AS84" s="54"/>
      <c r="AT84" s="54">
        <v>2</v>
      </c>
      <c r="AU84" s="54"/>
      <c r="AV84" s="54"/>
      <c r="AW84" s="54"/>
      <c r="AX84" s="54"/>
      <c r="AY84" s="54"/>
      <c r="AZ84" s="54"/>
      <c r="BA84" s="54">
        <v>1</v>
      </c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4"/>
      <c r="BU84" s="54">
        <v>6</v>
      </c>
      <c r="BV84" s="54"/>
      <c r="BW84" s="54"/>
      <c r="BX84" s="54">
        <v>1</v>
      </c>
      <c r="BY84" s="54"/>
      <c r="BZ84" s="54"/>
      <c r="CA84" s="54"/>
      <c r="CB84" s="54"/>
      <c r="CC84" s="54"/>
      <c r="CD84" s="54"/>
      <c r="CE84" s="54"/>
      <c r="CF84" s="54"/>
      <c r="CG84" s="54"/>
      <c r="CH84" s="54"/>
      <c r="CI84" s="54">
        <v>8</v>
      </c>
      <c r="CJ84" s="54"/>
      <c r="CK84" s="54"/>
      <c r="CL84" s="54"/>
      <c r="CM84" s="54"/>
      <c r="CN84" s="60">
        <f>SUM(F84:CM84)</f>
      </c>
      <c r="CO84" s="58">
        <v>5</v>
      </c>
      <c r="CP84" s="59"/>
      <c r="CQ84" s="58"/>
    </row>
    <row customHeight="true" ht="17" r="85">
      <c r="A85" s="57" t="str">
        <v>Hand-poured Soy Candles</v>
      </c>
      <c r="B85" s="56" t="str">
        <v>Small</v>
      </c>
      <c r="C85" s="56" t="str">
        <v>Citronella</v>
      </c>
      <c r="D85" s="55">
        <v>18</v>
      </c>
      <c r="E85" s="55">
        <v>6.5</v>
      </c>
      <c r="F85" s="52"/>
      <c r="G85" s="52"/>
      <c r="H85" s="54"/>
      <c r="I85" s="53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>
        <v>4</v>
      </c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60">
        <f>SUM(F85:CM85)</f>
      </c>
      <c r="CO85" s="58">
        <v>3</v>
      </c>
      <c r="CP85" s="59"/>
      <c r="CQ85" s="58"/>
    </row>
    <row customHeight="true" ht="17" r="86">
      <c r="A86" s="57" t="str">
        <v>Hand-poured Soy Candles</v>
      </c>
      <c r="B86" s="56" t="str">
        <v>Small</v>
      </c>
      <c r="C86" s="56" t="str">
        <v>Clean Cotton</v>
      </c>
      <c r="D86" s="55">
        <v>18</v>
      </c>
      <c r="E86" s="55">
        <v>6.5</v>
      </c>
      <c r="F86" s="52"/>
      <c r="G86" s="52"/>
      <c r="H86" s="54"/>
      <c r="I86" s="53"/>
      <c r="J86" s="54"/>
      <c r="K86" s="54"/>
      <c r="L86" s="54">
        <v>2</v>
      </c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60">
        <f>SUM(F86:CM86)</f>
      </c>
      <c r="CO86" s="58"/>
      <c r="CP86" s="59"/>
      <c r="CQ86" s="58"/>
    </row>
    <row customHeight="true" ht="17" r="87">
      <c r="A87" s="57" t="str">
        <v>Hand-poured Soy Candles</v>
      </c>
      <c r="B87" s="56" t="str">
        <v>Small</v>
      </c>
      <c r="C87" s="56" t="str">
        <v>Coffee &amp; Cream</v>
      </c>
      <c r="D87" s="55">
        <v>18</v>
      </c>
      <c r="E87" s="55">
        <v>6.5</v>
      </c>
      <c r="F87" s="52"/>
      <c r="G87" s="52"/>
      <c r="H87" s="54"/>
      <c r="I87" s="53"/>
      <c r="J87" s="54"/>
      <c r="K87" s="54"/>
      <c r="L87" s="54"/>
      <c r="M87" s="54"/>
      <c r="N87" s="54"/>
      <c r="O87" s="54"/>
      <c r="P87" s="54"/>
      <c r="Q87" s="54"/>
      <c r="R87" s="54"/>
      <c r="S87" s="54">
        <v>2</v>
      </c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>
        <v>6</v>
      </c>
      <c r="CJ87" s="54"/>
      <c r="CK87" s="54"/>
      <c r="CL87" s="54"/>
      <c r="CM87" s="54"/>
      <c r="CN87" s="60">
        <f>SUM(F87:CM87)</f>
      </c>
      <c r="CO87" s="58">
        <v>6</v>
      </c>
      <c r="CP87" s="59"/>
      <c r="CQ87" s="58"/>
    </row>
    <row customHeight="true" ht="17" r="88">
      <c r="A88" s="57" t="str">
        <v>Hand-poured Soy Candles</v>
      </c>
      <c r="B88" s="56" t="str">
        <v>Small</v>
      </c>
      <c r="C88" s="56" t="str">
        <v>Desert Sunset</v>
      </c>
      <c r="D88" s="55">
        <v>18</v>
      </c>
      <c r="E88" s="55">
        <v>6.5</v>
      </c>
      <c r="F88" s="52"/>
      <c r="G88" s="52"/>
      <c r="H88" s="54"/>
      <c r="I88" s="53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>
        <v>6</v>
      </c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>
        <v>6</v>
      </c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>
        <v>1</v>
      </c>
      <c r="BY88" s="54"/>
      <c r="BZ88" s="54"/>
      <c r="CA88" s="54"/>
      <c r="CB88" s="54"/>
      <c r="CC88" s="54"/>
      <c r="CD88" s="54"/>
      <c r="CE88" s="54">
        <v>-6</v>
      </c>
      <c r="CF88" s="54"/>
      <c r="CG88" s="54"/>
      <c r="CH88" s="54"/>
      <c r="CI88" s="54"/>
      <c r="CJ88" s="54"/>
      <c r="CK88" s="54"/>
      <c r="CL88" s="54"/>
      <c r="CM88" s="54"/>
      <c r="CN88" s="60">
        <f>SUM(F88:CM88)</f>
      </c>
      <c r="CO88" s="58"/>
      <c r="CP88" s="59"/>
      <c r="CQ88" s="58"/>
    </row>
    <row customHeight="true" ht="17" r="89">
      <c r="A89" s="57" t="str">
        <v>Hand-poured Soy Candles</v>
      </c>
      <c r="B89" s="56" t="str">
        <v>Small</v>
      </c>
      <c r="C89" s="56" t="str">
        <v>Eucalyptus &amp; Mint</v>
      </c>
      <c r="D89" s="55">
        <v>18</v>
      </c>
      <c r="E89" s="55">
        <v>6.5</v>
      </c>
      <c r="F89" s="52">
        <v>5</v>
      </c>
      <c r="G89" s="52"/>
      <c r="H89" s="54"/>
      <c r="I89" s="53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>
        <v>4</v>
      </c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>
        <v>2</v>
      </c>
      <c r="AR89" s="54"/>
      <c r="AS89" s="54"/>
      <c r="AT89" s="54">
        <v>3</v>
      </c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>
        <v>1</v>
      </c>
      <c r="BR89" s="54"/>
      <c r="BS89" s="54"/>
      <c r="BT89" s="54"/>
      <c r="BU89" s="54">
        <v>3</v>
      </c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60">
        <f>SUM(F89:CM89)</f>
      </c>
      <c r="CO89" s="58">
        <v>4</v>
      </c>
      <c r="CP89" s="59"/>
      <c r="CQ89" s="58"/>
    </row>
    <row customHeight="true" ht="17" r="90">
      <c r="A90" s="57" t="str">
        <v>Hand-poured Soy Candles</v>
      </c>
      <c r="B90" s="56" t="str">
        <v>Small</v>
      </c>
      <c r="C90" s="56" t="str">
        <v>Forest Berry</v>
      </c>
      <c r="D90" s="55">
        <v>18</v>
      </c>
      <c r="E90" s="55">
        <v>6.5</v>
      </c>
      <c r="F90" s="52"/>
      <c r="G90" s="52"/>
      <c r="H90" s="54"/>
      <c r="I90" s="53"/>
      <c r="J90" s="54"/>
      <c r="K90" s="54"/>
      <c r="L90" s="54">
        <v>4</v>
      </c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>
        <v>4</v>
      </c>
      <c r="AN90" s="54"/>
      <c r="AO90" s="54"/>
      <c r="AP90" s="54"/>
      <c r="AQ90" s="54"/>
      <c r="AR90" s="54"/>
      <c r="AS90" s="54"/>
      <c r="AT90" s="54"/>
      <c r="AU90" s="54"/>
      <c r="AV90" s="54"/>
      <c r="AW90" s="54">
        <v>1</v>
      </c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>
        <v>-4</v>
      </c>
      <c r="CF90" s="54">
        <v>5</v>
      </c>
      <c r="CG90" s="54"/>
      <c r="CH90" s="54"/>
      <c r="CI90" s="54"/>
      <c r="CJ90" s="54"/>
      <c r="CK90" s="54"/>
      <c r="CL90" s="54"/>
      <c r="CM90" s="54"/>
      <c r="CN90" s="60">
        <f>SUM(F90:CM90)</f>
      </c>
      <c r="CO90" s="58">
        <v>5</v>
      </c>
      <c r="CP90" s="59"/>
      <c r="CQ90" s="58"/>
    </row>
    <row customHeight="true" ht="17" r="91">
      <c r="A91" s="57" t="str">
        <v>Hand-poured Soy Candles</v>
      </c>
      <c r="B91" s="56" t="str">
        <v>Small</v>
      </c>
      <c r="C91" s="56" t="str">
        <v>French Vanilla</v>
      </c>
      <c r="D91" s="55">
        <v>18</v>
      </c>
      <c r="E91" s="55">
        <v>6.5</v>
      </c>
      <c r="F91" s="52"/>
      <c r="G91" s="52"/>
      <c r="H91" s="54"/>
      <c r="I91" s="53"/>
      <c r="J91" s="54"/>
      <c r="K91" s="54"/>
      <c r="L91" s="54">
        <v>2</v>
      </c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>
        <v>4</v>
      </c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>
        <v>2</v>
      </c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>
        <v>3</v>
      </c>
      <c r="CJ91" s="54"/>
      <c r="CK91" s="54"/>
      <c r="CL91" s="54"/>
      <c r="CM91" s="54"/>
      <c r="CN91" s="60">
        <f>SUM(F91:CM91)</f>
      </c>
      <c r="CO91" s="58">
        <v>6</v>
      </c>
      <c r="CP91" s="59"/>
      <c r="CQ91" s="58"/>
    </row>
    <row customHeight="true" ht="17" r="92">
      <c r="A92" s="57" t="str">
        <v>Hand-poured Soy Candles</v>
      </c>
      <c r="B92" s="56" t="str">
        <v>Small</v>
      </c>
      <c r="C92" s="56" t="str">
        <v>Island Coconut</v>
      </c>
      <c r="D92" s="55">
        <v>18</v>
      </c>
      <c r="E92" s="55">
        <v>6.5</v>
      </c>
      <c r="F92" s="52">
        <v>2</v>
      </c>
      <c r="G92" s="52"/>
      <c r="H92" s="54"/>
      <c r="I92" s="53"/>
      <c r="J92" s="54">
        <v>-1</v>
      </c>
      <c r="K92" s="54"/>
      <c r="L92" s="54"/>
      <c r="M92" s="54">
        <v>1</v>
      </c>
      <c r="N92" s="54"/>
      <c r="O92" s="54"/>
      <c r="P92" s="54">
        <v>2</v>
      </c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>
        <v>2</v>
      </c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>
        <v>6</v>
      </c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>
        <v>-4</v>
      </c>
      <c r="CF92" s="54">
        <v>5</v>
      </c>
      <c r="CG92" s="54"/>
      <c r="CH92" s="54"/>
      <c r="CI92" s="54"/>
      <c r="CJ92" s="54"/>
      <c r="CK92" s="54"/>
      <c r="CL92" s="54"/>
      <c r="CM92" s="54"/>
      <c r="CN92" s="60">
        <f>SUM(F92:CM92)</f>
      </c>
      <c r="CO92" s="58">
        <v>5</v>
      </c>
      <c r="CP92" s="59"/>
      <c r="CQ92" s="58"/>
    </row>
    <row customHeight="true" ht="17" r="93">
      <c r="A93" s="57" t="str">
        <v>Hand-poured Soy Candles</v>
      </c>
      <c r="B93" s="56" t="str">
        <v>Small</v>
      </c>
      <c r="C93" s="56" t="str">
        <v>Island Driftwood</v>
      </c>
      <c r="D93" s="55">
        <v>18</v>
      </c>
      <c r="E93" s="55">
        <v>6.5</v>
      </c>
      <c r="F93" s="52">
        <v>6</v>
      </c>
      <c r="G93" s="52"/>
      <c r="H93" s="54"/>
      <c r="I93" s="53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>
        <v>4</v>
      </c>
      <c r="AN93" s="54"/>
      <c r="AO93" s="54"/>
      <c r="AP93" s="54"/>
      <c r="AQ93" s="54">
        <v>2</v>
      </c>
      <c r="AR93" s="54"/>
      <c r="AS93" s="54"/>
      <c r="AT93" s="54">
        <v>4</v>
      </c>
      <c r="AU93" s="54"/>
      <c r="AV93" s="54"/>
      <c r="AW93" s="54"/>
      <c r="AX93" s="54"/>
      <c r="AY93" s="54"/>
      <c r="AZ93" s="54"/>
      <c r="BA93" s="54"/>
      <c r="BB93" s="54"/>
      <c r="BC93" s="54">
        <v>4</v>
      </c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60">
        <f>SUM(F93:CM93)</f>
      </c>
      <c r="CO93" s="58">
        <v>4</v>
      </c>
      <c r="CP93" s="59"/>
      <c r="CQ93" s="58"/>
    </row>
    <row customHeight="true" ht="17" r="94">
      <c r="A94" s="57" t="str">
        <v>Hand-poured Soy Candles</v>
      </c>
      <c r="B94" s="56" t="str">
        <v>Small</v>
      </c>
      <c r="C94" s="56" t="str">
        <v>Lavender</v>
      </c>
      <c r="D94" s="55">
        <v>18</v>
      </c>
      <c r="E94" s="55">
        <v>6.5</v>
      </c>
      <c r="F94" s="52"/>
      <c r="G94" s="52"/>
      <c r="H94" s="54"/>
      <c r="I94" s="53"/>
      <c r="J94" s="54"/>
      <c r="K94" s="54"/>
      <c r="L94" s="54">
        <v>2</v>
      </c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>
        <v>4</v>
      </c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>
        <v>4</v>
      </c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60">
        <f>SUM(F94:CM94)</f>
      </c>
      <c r="CO94" s="58"/>
      <c r="CP94" s="59"/>
      <c r="CQ94" s="58"/>
    </row>
    <row customHeight="true" ht="17" r="95">
      <c r="A95" s="57" t="str">
        <v>Hand-poured Soy Candles</v>
      </c>
      <c r="B95" s="56" t="str">
        <v>Small</v>
      </c>
      <c r="C95" s="56" t="str">
        <v>Lemongrass Tea</v>
      </c>
      <c r="D95" s="55">
        <v>18</v>
      </c>
      <c r="E95" s="55">
        <v>6.5</v>
      </c>
      <c r="F95" s="52"/>
      <c r="G95" s="52"/>
      <c r="H95" s="54"/>
      <c r="I95" s="53"/>
      <c r="J95" s="54"/>
      <c r="K95" s="54"/>
      <c r="L95" s="54">
        <v>4</v>
      </c>
      <c r="M95" s="54">
        <v>1</v>
      </c>
      <c r="N95" s="54"/>
      <c r="O95" s="54"/>
      <c r="P95" s="54"/>
      <c r="Q95" s="54"/>
      <c r="R95" s="54"/>
      <c r="S95" s="54"/>
      <c r="T95" s="54"/>
      <c r="U95" s="54"/>
      <c r="V95" s="54">
        <v>3</v>
      </c>
      <c r="W95" s="54"/>
      <c r="X95" s="54">
        <v>1</v>
      </c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>
        <v>4</v>
      </c>
      <c r="AN95" s="54">
        <v>2</v>
      </c>
      <c r="AO95" s="54"/>
      <c r="AP95" s="54"/>
      <c r="AQ95" s="54"/>
      <c r="AR95" s="54"/>
      <c r="AS95" s="54"/>
      <c r="AT95" s="54"/>
      <c r="AU95" s="54"/>
      <c r="AV95" s="54"/>
      <c r="AW95" s="54">
        <v>1</v>
      </c>
      <c r="AX95" s="54"/>
      <c r="AY95" s="54"/>
      <c r="AZ95" s="54"/>
      <c r="BA95" s="54"/>
      <c r="BB95" s="54"/>
      <c r="BC95" s="54">
        <v>6</v>
      </c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>
        <v>-3</v>
      </c>
      <c r="CF95" s="54">
        <v>5</v>
      </c>
      <c r="CG95" s="54"/>
      <c r="CH95" s="54"/>
      <c r="CI95" s="54">
        <v>3</v>
      </c>
      <c r="CJ95" s="54"/>
      <c r="CK95" s="54"/>
      <c r="CL95" s="54"/>
      <c r="CM95" s="54"/>
      <c r="CN95" s="60">
        <f>SUM(F95:CM95)</f>
      </c>
      <c r="CO95" s="58">
        <v>6</v>
      </c>
      <c r="CP95" s="59"/>
      <c r="CQ95" s="58"/>
    </row>
    <row customHeight="true" ht="17" r="96">
      <c r="A96" s="57" t="str">
        <v>Hand-poured Soy Candles</v>
      </c>
      <c r="B96" s="56" t="str">
        <v>Small</v>
      </c>
      <c r="C96" s="56" t="str">
        <v>Matcha &amp; Bergamot</v>
      </c>
      <c r="D96" s="55">
        <v>18</v>
      </c>
      <c r="E96" s="55">
        <v>6.5</v>
      </c>
      <c r="F96" s="52"/>
      <c r="G96" s="52"/>
      <c r="H96" s="54"/>
      <c r="I96" s="8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  <c r="CI96" s="54" t="str">
        <v>5</v>
      </c>
      <c r="CJ96" s="54"/>
      <c r="CK96" s="54"/>
      <c r="CL96" s="54"/>
      <c r="CM96" s="54"/>
      <c r="CN96" s="60">
        <f>SUM(F96:CM96)</f>
      </c>
      <c r="CO96" s="58">
        <v>5</v>
      </c>
      <c r="CP96" s="59"/>
      <c r="CQ96" s="58"/>
    </row>
    <row customHeight="true" ht="17" r="97">
      <c r="A97" s="57" t="str">
        <v>Hand-poured Soy Candles</v>
      </c>
      <c r="B97" s="56" t="str">
        <v>Small</v>
      </c>
      <c r="C97" s="56" t="str">
        <v>Merry Mistletoe</v>
      </c>
      <c r="D97" s="55">
        <v>18</v>
      </c>
      <c r="E97" s="55">
        <v>6.5</v>
      </c>
      <c r="F97" s="52"/>
      <c r="G97" s="52"/>
      <c r="H97" s="54"/>
      <c r="I97" s="53"/>
      <c r="J97" s="54"/>
      <c r="K97" s="54"/>
      <c r="L97" s="54"/>
      <c r="M97" s="54"/>
      <c r="N97" s="54"/>
      <c r="O97" s="54"/>
      <c r="P97" s="54">
        <v>2</v>
      </c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>
        <v>6</v>
      </c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>
        <v>2</v>
      </c>
      <c r="AP97" s="54">
        <v>4</v>
      </c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>
        <v>6</v>
      </c>
      <c r="BC97" s="54">
        <v>10</v>
      </c>
      <c r="BD97" s="54"/>
      <c r="BE97" s="54"/>
      <c r="BF97" s="54"/>
      <c r="BG97" s="54"/>
      <c r="BH97" s="54"/>
      <c r="BI97" s="54">
        <v>1</v>
      </c>
      <c r="BJ97" s="54"/>
      <c r="BK97" s="54"/>
      <c r="BL97" s="54"/>
      <c r="BM97" s="54"/>
      <c r="BN97" s="54"/>
      <c r="BO97" s="54"/>
      <c r="BP97" s="54">
        <v>1</v>
      </c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  <c r="CI97" s="54"/>
      <c r="CJ97" s="54"/>
      <c r="CK97" s="54"/>
      <c r="CL97" s="54">
        <v>1</v>
      </c>
      <c r="CM97" s="54"/>
      <c r="CN97" s="60">
        <f>SUM(F97:CM97)</f>
      </c>
      <c r="CO97" s="58">
        <v>8</v>
      </c>
      <c r="CP97" s="59"/>
      <c r="CQ97" s="58"/>
    </row>
    <row customHeight="true" ht="17" r="98">
      <c r="A98" s="57" t="str">
        <v>Hand-poured Soy Candles</v>
      </c>
      <c r="B98" s="56" t="str">
        <v>Small</v>
      </c>
      <c r="C98" s="56" t="str" xml:space="preserve">
        <v>Mountain Rain </v>
      </c>
      <c r="D98" s="55">
        <v>18</v>
      </c>
      <c r="E98" s="55">
        <v>6.5</v>
      </c>
      <c r="F98" s="52">
        <v>4</v>
      </c>
      <c r="G98" s="52"/>
      <c r="H98" s="54"/>
      <c r="I98" s="53">
        <v>-1</v>
      </c>
      <c r="J98" s="54"/>
      <c r="K98" s="54"/>
      <c r="L98" s="54">
        <v>3</v>
      </c>
      <c r="M98" s="54"/>
      <c r="N98" s="54">
        <v>1</v>
      </c>
      <c r="O98" s="54"/>
      <c r="P98" s="54"/>
      <c r="Q98" s="54"/>
      <c r="R98" s="54"/>
      <c r="S98" s="54"/>
      <c r="T98" s="54"/>
      <c r="U98" s="54"/>
      <c r="V98" s="54">
        <v>3</v>
      </c>
      <c r="W98" s="54"/>
      <c r="X98" s="54"/>
      <c r="Y98" s="54"/>
      <c r="Z98" s="54"/>
      <c r="AA98" s="54"/>
      <c r="AB98" s="54"/>
      <c r="AC98" s="54">
        <v>2</v>
      </c>
      <c r="AD98" s="54"/>
      <c r="AE98" s="54"/>
      <c r="AF98" s="54"/>
      <c r="AG98" s="54"/>
      <c r="AH98" s="54"/>
      <c r="AI98" s="54"/>
      <c r="AJ98" s="54">
        <v>1</v>
      </c>
      <c r="AK98" s="54"/>
      <c r="AL98" s="54"/>
      <c r="AM98" s="54">
        <v>4</v>
      </c>
      <c r="AN98" s="54"/>
      <c r="AO98" s="54">
        <v>2</v>
      </c>
      <c r="AP98" s="54"/>
      <c r="AQ98" s="54"/>
      <c r="AR98" s="54"/>
      <c r="AS98" s="54"/>
      <c r="AT98" s="54">
        <v>4</v>
      </c>
      <c r="AU98" s="54"/>
      <c r="AV98" s="54"/>
      <c r="AW98" s="54"/>
      <c r="AX98" s="54"/>
      <c r="AY98" s="54"/>
      <c r="AZ98" s="54"/>
      <c r="BA98" s="54"/>
      <c r="BB98" s="54"/>
      <c r="BC98" s="54">
        <v>6</v>
      </c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>
        <v>1</v>
      </c>
      <c r="CB98" s="54"/>
      <c r="CC98" s="54"/>
      <c r="CD98" s="54"/>
      <c r="CE98" s="54">
        <v>-4</v>
      </c>
      <c r="CF98" s="54">
        <v>5</v>
      </c>
      <c r="CG98" s="54">
        <v>1</v>
      </c>
      <c r="CH98" s="54"/>
      <c r="CI98" s="54"/>
      <c r="CJ98" s="54"/>
      <c r="CK98" s="54"/>
      <c r="CL98" s="54"/>
      <c r="CM98" s="54"/>
      <c r="CN98" s="60">
        <f>SUM(F98:CM98)</f>
      </c>
      <c r="CO98" s="58">
        <v>3</v>
      </c>
      <c r="CP98" s="59"/>
      <c r="CQ98" s="58"/>
    </row>
    <row customHeight="true" ht="17" r="99">
      <c r="A99" s="57" t="str">
        <v>Hand-poured Soy Candles</v>
      </c>
      <c r="B99" s="56" t="str">
        <v>Small</v>
      </c>
      <c r="C99" s="56" t="str">
        <v>Sandalwood &amp; Citrus</v>
      </c>
      <c r="D99" s="55">
        <v>18</v>
      </c>
      <c r="E99" s="55">
        <v>6.5</v>
      </c>
      <c r="F99" s="52">
        <v>6</v>
      </c>
      <c r="G99" s="52"/>
      <c r="H99" s="54"/>
      <c r="I99" s="82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>
        <v>4</v>
      </c>
      <c r="W99" s="54"/>
      <c r="X99" s="54"/>
      <c r="Y99" s="54"/>
      <c r="Z99" s="54"/>
      <c r="AA99" s="54"/>
      <c r="AB99" s="54"/>
      <c r="AC99" s="54">
        <v>2</v>
      </c>
      <c r="AD99" s="54">
        <v>2</v>
      </c>
      <c r="AE99" s="54">
        <v>3</v>
      </c>
      <c r="AF99" s="54"/>
      <c r="AG99" s="54"/>
      <c r="AH99" s="54"/>
      <c r="AI99" s="54"/>
      <c r="AJ99" s="54"/>
      <c r="AK99" s="54"/>
      <c r="AL99" s="54"/>
      <c r="AM99" s="54">
        <v>4</v>
      </c>
      <c r="AN99" s="54"/>
      <c r="AO99" s="54"/>
      <c r="AP99" s="54"/>
      <c r="AQ99" s="54"/>
      <c r="AR99" s="54"/>
      <c r="AS99" s="54">
        <v>1</v>
      </c>
      <c r="AT99" s="54">
        <v>2</v>
      </c>
      <c r="AU99" s="54"/>
      <c r="AV99" s="54"/>
      <c r="AW99" s="54"/>
      <c r="AX99" s="54"/>
      <c r="AY99" s="54"/>
      <c r="AZ99" s="54"/>
      <c r="BA99" s="54"/>
      <c r="BB99" s="61"/>
      <c r="BC99" s="61"/>
      <c r="BD99" s="61"/>
      <c r="BE99" s="61"/>
      <c r="BF99" s="61"/>
      <c r="BG99" s="61"/>
      <c r="BH99" s="61"/>
      <c r="BI99" s="61"/>
      <c r="BJ99" s="61"/>
      <c r="BK99" s="54"/>
      <c r="BL99" s="54">
        <v>-5</v>
      </c>
      <c r="BM99" s="54"/>
      <c r="BN99" s="54"/>
      <c r="BO99" s="54"/>
      <c r="BP99" s="54"/>
      <c r="BQ99" s="54"/>
      <c r="BR99" s="54"/>
      <c r="BS99" s="54"/>
      <c r="BT99" s="54"/>
      <c r="BU99" s="54">
        <v>6</v>
      </c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>
        <v>3</v>
      </c>
      <c r="CG99" s="54"/>
      <c r="CH99" s="54"/>
      <c r="CI99" s="54"/>
      <c r="CJ99" s="54">
        <v>1</v>
      </c>
      <c r="CK99" s="54"/>
      <c r="CL99" s="54"/>
      <c r="CM99" s="61"/>
      <c r="CN99" s="60">
        <f>SUM(F99:CM99)</f>
      </c>
      <c r="CO99" s="58">
        <v>4</v>
      </c>
      <c r="CP99" s="59"/>
      <c r="CQ99" s="58"/>
    </row>
    <row customHeight="true" ht="17" r="100">
      <c r="A100" s="57" t="str">
        <v>Hand-poured Soy Candles</v>
      </c>
      <c r="B100" s="56" t="str">
        <v>Small</v>
      </c>
      <c r="C100" s="56" t="str">
        <v>Spice Market</v>
      </c>
      <c r="D100" s="55">
        <v>18</v>
      </c>
      <c r="E100" s="55">
        <v>6.5</v>
      </c>
      <c r="F100" s="52">
        <v>7</v>
      </c>
      <c r="G100" s="52"/>
      <c r="H100" s="54"/>
      <c r="I100" s="62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>
        <v>1</v>
      </c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>
        <v>3</v>
      </c>
      <c r="AU100" s="54"/>
      <c r="AV100" s="54"/>
      <c r="AW100" s="54"/>
      <c r="AX100" s="54"/>
      <c r="AY100" s="54"/>
      <c r="AZ100" s="54"/>
      <c r="BA100" s="54"/>
      <c r="BB100" s="61"/>
      <c r="BC100" s="61">
        <v>6</v>
      </c>
      <c r="BD100" s="61"/>
      <c r="BE100" s="61"/>
      <c r="BF100" s="61"/>
      <c r="BG100" s="61"/>
      <c r="BH100" s="61"/>
      <c r="BI100" s="61"/>
      <c r="BJ100" s="61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  <c r="CC100" s="54"/>
      <c r="CD100" s="54"/>
      <c r="CE100" s="54"/>
      <c r="CF100" s="54"/>
      <c r="CG100" s="54"/>
      <c r="CH100" s="54"/>
      <c r="CI100" s="54"/>
      <c r="CJ100" s="54"/>
      <c r="CK100" s="54"/>
      <c r="CL100" s="54"/>
      <c r="CM100" s="61"/>
      <c r="CN100" s="60">
        <f>SUM(F100:CM100)</f>
      </c>
      <c r="CO100" s="58">
        <v>6</v>
      </c>
      <c r="CP100" s="59"/>
      <c r="CQ100" s="58"/>
    </row>
    <row customHeight="true" ht="17" r="101">
      <c r="A101" s="57" t="str">
        <v>Hand-poured Soy Candles</v>
      </c>
      <c r="B101" s="56" t="str">
        <v>Small</v>
      </c>
      <c r="C101" s="56" t="str">
        <v>Tonka &amp; Oud</v>
      </c>
      <c r="D101" s="55">
        <v>18</v>
      </c>
      <c r="E101" s="55">
        <v>6.5</v>
      </c>
      <c r="F101" s="52"/>
      <c r="G101" s="52"/>
      <c r="H101" s="54"/>
      <c r="I101" s="56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61"/>
      <c r="BC101" s="61"/>
      <c r="BD101" s="61"/>
      <c r="BE101" s="61"/>
      <c r="BF101" s="61"/>
      <c r="BG101" s="61"/>
      <c r="BH101" s="61"/>
      <c r="BI101" s="61"/>
      <c r="BJ101" s="61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4"/>
      <c r="BV101" s="54"/>
      <c r="BW101" s="54"/>
      <c r="BX101" s="54"/>
      <c r="BY101" s="54"/>
      <c r="BZ101" s="54"/>
      <c r="CA101" s="54"/>
      <c r="CB101" s="54"/>
      <c r="CC101" s="54"/>
      <c r="CD101" s="54"/>
      <c r="CE101" s="54"/>
      <c r="CF101" s="54"/>
      <c r="CG101" s="54"/>
      <c r="CH101" s="54"/>
      <c r="CI101" s="54">
        <v>6</v>
      </c>
      <c r="CJ101" s="54"/>
      <c r="CK101" s="54"/>
      <c r="CL101" s="54"/>
      <c r="CM101" s="61"/>
      <c r="CN101" s="60">
        <f>SUM(F101:CM101)</f>
      </c>
      <c r="CO101" s="58">
        <v>6</v>
      </c>
      <c r="CP101" s="59"/>
      <c r="CQ101" s="58"/>
    </row>
    <row customHeight="true" ht="17" r="102">
      <c r="A102" s="57" t="str">
        <v>Hand-poured Soy Candles</v>
      </c>
      <c r="B102" s="56" t="str">
        <v>Small</v>
      </c>
      <c r="C102" s="56" t="str">
        <v>Vanilla &amp; Spice</v>
      </c>
      <c r="D102" s="55">
        <v>18</v>
      </c>
      <c r="E102" s="55">
        <v>6.5</v>
      </c>
      <c r="F102" s="52">
        <v>4</v>
      </c>
      <c r="G102" s="52"/>
      <c r="H102" s="54"/>
      <c r="I102" s="85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>
        <v>2</v>
      </c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>
        <v>1</v>
      </c>
      <c r="AP102" s="54"/>
      <c r="AQ102" s="54">
        <v>4</v>
      </c>
      <c r="AR102" s="54"/>
      <c r="AS102" s="54"/>
      <c r="AT102" s="54"/>
      <c r="AU102" s="54"/>
      <c r="AV102" s="54"/>
      <c r="AW102" s="54">
        <v>1</v>
      </c>
      <c r="AX102" s="54"/>
      <c r="AY102" s="54"/>
      <c r="AZ102" s="54"/>
      <c r="BA102" s="54"/>
      <c r="BB102" s="61"/>
      <c r="BC102" s="61"/>
      <c r="BD102" s="61"/>
      <c r="BE102" s="61"/>
      <c r="BF102" s="61"/>
      <c r="BG102" s="61"/>
      <c r="BH102" s="61"/>
      <c r="BI102" s="61"/>
      <c r="BJ102" s="61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  <c r="BW102" s="54"/>
      <c r="BX102" s="54"/>
      <c r="BY102" s="54"/>
      <c r="BZ102" s="54"/>
      <c r="CA102" s="54"/>
      <c r="CB102" s="54"/>
      <c r="CC102" s="54"/>
      <c r="CD102" s="54"/>
      <c r="CE102" s="54">
        <v>-4</v>
      </c>
      <c r="CF102" s="54">
        <v>5</v>
      </c>
      <c r="CG102" s="54"/>
      <c r="CH102" s="54"/>
      <c r="CI102" s="54"/>
      <c r="CJ102" s="54"/>
      <c r="CK102" s="54"/>
      <c r="CL102" s="54"/>
      <c r="CM102" s="61"/>
      <c r="CN102" s="60">
        <f>SUM(F102:CM102)</f>
      </c>
      <c r="CO102" s="58">
        <v>3</v>
      </c>
      <c r="CP102" s="59"/>
      <c r="CQ102" s="58"/>
    </row>
    <row customHeight="true" ht="17" r="103">
      <c r="A103" s="57" t="str">
        <v>Hand-poured Soy Candles</v>
      </c>
      <c r="B103" s="56" t="str">
        <v>Small</v>
      </c>
      <c r="C103" s="56" t="str">
        <v>Whiskey River</v>
      </c>
      <c r="D103" s="55">
        <v>18</v>
      </c>
      <c r="E103" s="55">
        <v>6.5</v>
      </c>
      <c r="F103" s="52"/>
      <c r="G103" s="52"/>
      <c r="H103" s="54"/>
      <c r="I103" s="88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61"/>
      <c r="BC103" s="61"/>
      <c r="BD103" s="61"/>
      <c r="BE103" s="61"/>
      <c r="BF103" s="61"/>
      <c r="BG103" s="87"/>
      <c r="BH103" s="87"/>
      <c r="BI103" s="87"/>
      <c r="BJ103" s="87"/>
      <c r="BK103" s="86"/>
      <c r="BL103" s="86"/>
      <c r="BM103" s="86"/>
      <c r="BN103" s="86"/>
      <c r="BO103" s="86"/>
      <c r="BP103" s="86"/>
      <c r="BQ103" s="86"/>
      <c r="BR103" s="86"/>
      <c r="BS103" s="86"/>
      <c r="BT103" s="86"/>
      <c r="BU103" s="86"/>
      <c r="BV103" s="86"/>
      <c r="BW103" s="86"/>
      <c r="BX103" s="86"/>
      <c r="BY103" s="86"/>
      <c r="BZ103" s="86"/>
      <c r="CA103" s="86"/>
      <c r="CB103" s="86"/>
      <c r="CC103" s="86"/>
      <c r="CD103" s="86"/>
      <c r="CE103" s="86"/>
      <c r="CF103" s="86"/>
      <c r="CG103" s="86"/>
      <c r="CH103" s="86"/>
      <c r="CI103" s="86"/>
      <c r="CJ103" s="86"/>
      <c r="CK103" s="86"/>
      <c r="CL103" s="86"/>
      <c r="CM103" s="87"/>
      <c r="CN103" s="60">
        <f>SUM(F103:CM103)</f>
      </c>
      <c r="CO103" s="58"/>
      <c r="CP103" s="59"/>
      <c r="CQ103" s="58"/>
    </row>
    <row customHeight="true" ht="17" r="104">
      <c r="A104" s="57" t="str">
        <v>Hand-poured Soy Candles</v>
      </c>
      <c r="B104" s="56" t="str">
        <v>Small</v>
      </c>
      <c r="C104" s="56" t="str">
        <v>White Lily</v>
      </c>
      <c r="D104" s="55">
        <v>18</v>
      </c>
      <c r="E104" s="55">
        <v>6.5</v>
      </c>
      <c r="F104" s="52"/>
      <c r="G104" s="52"/>
      <c r="H104" s="54"/>
      <c r="I104" s="56"/>
      <c r="J104" s="54"/>
      <c r="K104" s="54"/>
      <c r="L104" s="54">
        <v>4</v>
      </c>
      <c r="M104" s="54"/>
      <c r="N104" s="54"/>
      <c r="O104" s="54"/>
      <c r="P104" s="54"/>
      <c r="Q104" s="54"/>
      <c r="R104" s="54"/>
      <c r="S104" s="54">
        <v>2</v>
      </c>
      <c r="T104" s="54"/>
      <c r="U104" s="54"/>
      <c r="V104" s="54"/>
      <c r="W104" s="54"/>
      <c r="X104" s="54"/>
      <c r="Y104" s="54"/>
      <c r="Z104" s="54"/>
      <c r="AA104" s="54"/>
      <c r="AB104" s="54"/>
      <c r="AC104" s="54">
        <v>2</v>
      </c>
      <c r="AD104" s="54"/>
      <c r="AE104" s="54"/>
      <c r="AF104" s="54"/>
      <c r="AG104" s="54"/>
      <c r="AH104" s="54"/>
      <c r="AI104" s="54"/>
      <c r="AJ104" s="54"/>
      <c r="AK104" s="54"/>
      <c r="AL104" s="54"/>
      <c r="AM104" s="54">
        <v>6</v>
      </c>
      <c r="AN104" s="54"/>
      <c r="AO104" s="54"/>
      <c r="AP104" s="54"/>
      <c r="AQ104" s="54"/>
      <c r="AR104" s="54"/>
      <c r="AS104" s="54"/>
      <c r="AT104" s="54"/>
      <c r="AU104" s="54"/>
      <c r="AV104" s="54"/>
      <c r="AW104" s="54">
        <v>1</v>
      </c>
      <c r="AX104" s="54"/>
      <c r="AY104" s="54"/>
      <c r="AZ104" s="54"/>
      <c r="BA104" s="54"/>
      <c r="BB104" s="61"/>
      <c r="BC104" s="61">
        <v>4</v>
      </c>
      <c r="BD104" s="61"/>
      <c r="BE104" s="61"/>
      <c r="BF104" s="61"/>
      <c r="BG104" s="61"/>
      <c r="BH104" s="61"/>
      <c r="BI104" s="61"/>
      <c r="BJ104" s="61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>
        <v>1</v>
      </c>
      <c r="BY104" s="54"/>
      <c r="BZ104" s="54"/>
      <c r="CA104" s="54"/>
      <c r="CB104" s="54"/>
      <c r="CC104" s="54"/>
      <c r="CD104" s="54"/>
      <c r="CE104" s="54"/>
      <c r="CF104" s="54"/>
      <c r="CG104" s="54"/>
      <c r="CH104" s="54"/>
      <c r="CI104" s="54"/>
      <c r="CJ104" s="54"/>
      <c r="CK104" s="54"/>
      <c r="CL104" s="54"/>
      <c r="CM104" s="61"/>
      <c r="CN104" s="60">
        <f>SUM(F104:CM104)</f>
      </c>
      <c r="CO104" s="58">
        <v>3</v>
      </c>
      <c r="CP104" s="59"/>
      <c r="CQ104" s="58"/>
    </row>
    <row customHeight="true" ht="17" r="105">
      <c r="A105" s="57" t="str">
        <v>Hand-poured Soy Candles</v>
      </c>
      <c r="B105" s="56" t="str">
        <v>Small</v>
      </c>
      <c r="C105" s="56" t="str">
        <v>Wild Rose</v>
      </c>
      <c r="D105" s="55">
        <v>18</v>
      </c>
      <c r="E105" s="55">
        <v>6.5</v>
      </c>
      <c r="F105" s="52">
        <v>5</v>
      </c>
      <c r="G105" s="52"/>
      <c r="H105" s="54"/>
      <c r="I105" s="68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>
        <v>4</v>
      </c>
      <c r="AD105" s="52"/>
      <c r="AE105" s="52"/>
      <c r="AF105" s="52"/>
      <c r="AG105" s="52"/>
      <c r="AH105" s="52"/>
      <c r="AI105" s="52"/>
      <c r="AJ105" s="52">
        <v>1</v>
      </c>
      <c r="AK105" s="52"/>
      <c r="AL105" s="52"/>
      <c r="AM105" s="52"/>
      <c r="AN105" s="52"/>
      <c r="AO105" s="52"/>
      <c r="AP105" s="52"/>
      <c r="AQ105" s="52"/>
      <c r="AR105" s="52"/>
      <c r="AS105" s="52"/>
      <c r="AT105" s="52">
        <v>3</v>
      </c>
      <c r="AU105" s="52"/>
      <c r="AV105" s="52"/>
      <c r="AW105" s="52"/>
      <c r="AX105" s="52"/>
      <c r="AY105" s="52"/>
      <c r="AZ105" s="52"/>
      <c r="BA105" s="52"/>
      <c r="BB105" s="58"/>
      <c r="BC105" s="58"/>
      <c r="BD105" s="58">
        <v>7</v>
      </c>
      <c r="BE105" s="58"/>
      <c r="BF105" s="58"/>
      <c r="BG105" s="58"/>
      <c r="BH105" s="58"/>
      <c r="BI105" s="58"/>
      <c r="BJ105" s="58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52"/>
      <c r="CF105" s="52"/>
      <c r="CG105" s="52"/>
      <c r="CH105" s="52"/>
      <c r="CI105" s="52">
        <v>3</v>
      </c>
      <c r="CJ105" s="52"/>
      <c r="CK105" s="52"/>
      <c r="CL105" s="52"/>
      <c r="CM105" s="58"/>
      <c r="CN105" s="60">
        <f>SUM(F105:CM105)</f>
      </c>
      <c r="CO105" s="58">
        <v>6</v>
      </c>
      <c r="CP105" s="59"/>
      <c r="CQ105" s="58"/>
    </row>
    <row customHeight="true" ht="17" r="106">
      <c r="A106" s="80"/>
      <c r="B106" s="80"/>
      <c r="C106" s="80"/>
      <c r="D106" s="80"/>
      <c r="E106" s="77"/>
      <c r="F106" s="62"/>
      <c r="G106" s="62"/>
      <c r="H106" s="79"/>
      <c r="I106" s="8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  <c r="BC106" s="62"/>
      <c r="BD106" s="62"/>
      <c r="BE106" s="62"/>
      <c r="BF106" s="62"/>
      <c r="BG106" s="62"/>
      <c r="BH106" s="62"/>
      <c r="BI106" s="62"/>
      <c r="BJ106" s="62"/>
      <c r="BK106" s="62"/>
      <c r="BL106" s="62"/>
      <c r="BM106" s="62"/>
      <c r="BN106" s="62"/>
      <c r="BO106" s="62"/>
      <c r="BP106" s="62"/>
      <c r="BQ106" s="62"/>
      <c r="BR106" s="62"/>
      <c r="BS106" s="62"/>
      <c r="BT106" s="62"/>
      <c r="BU106" s="62"/>
      <c r="BV106" s="62"/>
      <c r="BW106" s="62"/>
      <c r="BX106" s="62"/>
      <c r="BY106" s="62"/>
      <c r="BZ106" s="62"/>
      <c r="CA106" s="62"/>
      <c r="CB106" s="62"/>
      <c r="CC106" s="62"/>
      <c r="CD106" s="62"/>
      <c r="CE106" s="62"/>
      <c r="CF106" s="62"/>
      <c r="CG106" s="62"/>
      <c r="CH106" s="62"/>
      <c r="CI106" s="62"/>
      <c r="CJ106" s="62"/>
      <c r="CK106" s="62"/>
      <c r="CL106" s="62"/>
      <c r="CM106" s="62"/>
      <c r="CN106" s="78"/>
      <c r="CO106" s="62"/>
      <c r="CP106" s="81"/>
      <c r="CQ106" s="56"/>
    </row>
    <row customHeight="true" ht="17" r="107">
      <c r="A107" s="65"/>
      <c r="B107" s="65"/>
      <c r="C107" s="65"/>
      <c r="D107" s="65"/>
      <c r="E107" s="83"/>
      <c r="F107" s="63"/>
      <c r="G107" s="63"/>
      <c r="H107" s="67"/>
      <c r="I107" s="68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  <c r="BT107" s="63"/>
      <c r="BU107" s="63"/>
      <c r="BV107" s="63"/>
      <c r="BW107" s="63"/>
      <c r="BX107" s="63"/>
      <c r="BY107" s="63"/>
      <c r="BZ107" s="63"/>
      <c r="CA107" s="63"/>
      <c r="CB107" s="63"/>
      <c r="CC107" s="63"/>
      <c r="CD107" s="63"/>
      <c r="CE107" s="63"/>
      <c r="CF107" s="63"/>
      <c r="CG107" s="63"/>
      <c r="CH107" s="63"/>
      <c r="CI107" s="63"/>
      <c r="CJ107" s="63"/>
      <c r="CK107" s="63"/>
      <c r="CL107" s="63"/>
      <c r="CM107" s="63"/>
      <c r="CN107" s="69"/>
      <c r="CO107" s="63"/>
      <c r="CP107" s="64"/>
      <c r="CQ107" s="63"/>
    </row>
    <row customHeight="true" ht="20" r="108">
      <c r="A108" s="65"/>
      <c r="B108" s="65"/>
      <c r="C108" s="65"/>
      <c r="D108" s="65"/>
      <c r="E108" s="83"/>
      <c r="F108" s="63"/>
      <c r="G108" s="63"/>
      <c r="H108" s="67"/>
      <c r="I108" s="68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  <c r="BT108" s="63"/>
      <c r="BU108" s="63"/>
      <c r="BV108" s="63"/>
      <c r="BW108" s="63"/>
      <c r="BX108" s="63"/>
      <c r="BY108" s="63"/>
      <c r="BZ108" s="63"/>
      <c r="CA108" s="63"/>
      <c r="CB108" s="63"/>
      <c r="CC108" s="63"/>
      <c r="CD108" s="63"/>
      <c r="CE108" s="63"/>
      <c r="CF108" s="63"/>
      <c r="CG108" s="63"/>
      <c r="CH108" s="63"/>
      <c r="CI108" s="63"/>
      <c r="CJ108" s="63"/>
      <c r="CK108" s="63"/>
      <c r="CL108" s="63"/>
      <c r="CM108" s="63"/>
      <c r="CN108" s="69"/>
      <c r="CO108" s="65"/>
      <c r="CP108" s="64"/>
      <c r="CQ108" s="63"/>
    </row>
    <row customHeight="true" ht="17" r="109">
      <c r="A109" s="65"/>
      <c r="B109" s="66"/>
      <c r="C109" s="66"/>
      <c r="D109" s="66"/>
      <c r="E109" s="66"/>
      <c r="F109" s="63"/>
      <c r="G109" s="63"/>
      <c r="H109" s="67"/>
      <c r="I109" s="68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  <c r="BD109" s="63"/>
      <c r="BE109" s="63"/>
      <c r="BF109" s="63"/>
      <c r="BG109" s="63"/>
      <c r="BH109" s="63"/>
      <c r="BI109" s="63"/>
      <c r="BJ109" s="63"/>
      <c r="BK109" s="63"/>
      <c r="BL109" s="63"/>
      <c r="BM109" s="63"/>
      <c r="BN109" s="63"/>
      <c r="BO109" s="63"/>
      <c r="BP109" s="63"/>
      <c r="BQ109" s="63"/>
      <c r="BR109" s="63"/>
      <c r="BS109" s="63"/>
      <c r="BT109" s="63"/>
      <c r="BU109" s="63"/>
      <c r="BV109" s="63"/>
      <c r="BW109" s="63"/>
      <c r="BX109" s="63"/>
      <c r="BY109" s="63"/>
      <c r="BZ109" s="63"/>
      <c r="CA109" s="63"/>
      <c r="CB109" s="63"/>
      <c r="CC109" s="63"/>
      <c r="CD109" s="63"/>
      <c r="CE109" s="63"/>
      <c r="CF109" s="63"/>
      <c r="CG109" s="63"/>
      <c r="CH109" s="63"/>
      <c r="CI109" s="63"/>
      <c r="CJ109" s="63"/>
      <c r="CK109" s="63"/>
      <c r="CL109" s="63"/>
      <c r="CM109" s="63"/>
      <c r="CN109" s="69"/>
      <c r="CO109" s="63"/>
      <c r="CP109" s="64"/>
      <c r="CQ109" s="63"/>
    </row>
    <row customHeight="true" ht="17" r="110">
      <c r="A110" s="65"/>
      <c r="B110" s="66"/>
      <c r="C110" s="66"/>
      <c r="D110" s="66"/>
      <c r="E110" s="66"/>
      <c r="F110" s="63"/>
      <c r="G110" s="63"/>
      <c r="H110" s="67"/>
      <c r="I110" s="68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  <c r="BU110" s="63"/>
      <c r="BV110" s="63"/>
      <c r="BW110" s="63"/>
      <c r="BX110" s="63"/>
      <c r="BY110" s="63"/>
      <c r="BZ110" s="63"/>
      <c r="CA110" s="63"/>
      <c r="CB110" s="63"/>
      <c r="CC110" s="63"/>
      <c r="CD110" s="63"/>
      <c r="CE110" s="63"/>
      <c r="CF110" s="63"/>
      <c r="CG110" s="63"/>
      <c r="CH110" s="63"/>
      <c r="CI110" s="63"/>
      <c r="CJ110" s="63"/>
      <c r="CK110" s="63"/>
      <c r="CL110" s="63"/>
      <c r="CM110" s="63"/>
      <c r="CN110" s="69"/>
      <c r="CO110" s="63"/>
      <c r="CP110" s="64"/>
      <c r="CQ110" s="63"/>
    </row>
    <row customHeight="true" ht="17" r="111">
      <c r="A111" s="65"/>
      <c r="B111" s="66"/>
      <c r="C111" s="66"/>
      <c r="D111" s="66"/>
      <c r="E111" s="66"/>
      <c r="F111" s="63"/>
      <c r="G111" s="63"/>
      <c r="H111" s="67"/>
      <c r="I111" s="68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  <c r="BI111" s="63"/>
      <c r="BJ111" s="63"/>
      <c r="BK111" s="63"/>
      <c r="BL111" s="63"/>
      <c r="BM111" s="63"/>
      <c r="BN111" s="63"/>
      <c r="BO111" s="63"/>
      <c r="BP111" s="63"/>
      <c r="BQ111" s="63"/>
      <c r="BR111" s="63"/>
      <c r="BS111" s="63"/>
      <c r="BT111" s="63"/>
      <c r="BU111" s="63"/>
      <c r="BV111" s="63"/>
      <c r="BW111" s="63"/>
      <c r="BX111" s="63"/>
      <c r="BY111" s="63"/>
      <c r="BZ111" s="63"/>
      <c r="CA111" s="63"/>
      <c r="CB111" s="63"/>
      <c r="CC111" s="63"/>
      <c r="CD111" s="63"/>
      <c r="CE111" s="63"/>
      <c r="CF111" s="63"/>
      <c r="CG111" s="63"/>
      <c r="CH111" s="63"/>
      <c r="CI111" s="63"/>
      <c r="CJ111" s="63"/>
      <c r="CK111" s="63"/>
      <c r="CL111" s="63"/>
      <c r="CM111" s="63"/>
      <c r="CN111" s="69"/>
      <c r="CO111" s="63"/>
      <c r="CP111" s="64"/>
      <c r="CQ111" s="63"/>
    </row>
    <row customHeight="true" ht="17" r="112">
      <c r="A112" s="65"/>
      <c r="B112" s="66"/>
      <c r="C112" s="66"/>
      <c r="D112" s="66"/>
      <c r="E112" s="66"/>
      <c r="F112" s="63"/>
      <c r="G112" s="63"/>
      <c r="H112" s="67"/>
      <c r="I112" s="68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63"/>
      <c r="BO112" s="63"/>
      <c r="BP112" s="63"/>
      <c r="BQ112" s="63"/>
      <c r="BR112" s="63"/>
      <c r="BS112" s="63"/>
      <c r="BT112" s="63"/>
      <c r="BU112" s="63"/>
      <c r="BV112" s="63"/>
      <c r="BW112" s="63"/>
      <c r="BX112" s="63"/>
      <c r="BY112" s="63"/>
      <c r="BZ112" s="63"/>
      <c r="CA112" s="63"/>
      <c r="CB112" s="63"/>
      <c r="CC112" s="63"/>
      <c r="CD112" s="63"/>
      <c r="CE112" s="63"/>
      <c r="CF112" s="63"/>
      <c r="CG112" s="63"/>
      <c r="CH112" s="63"/>
      <c r="CI112" s="63"/>
      <c r="CJ112" s="63"/>
      <c r="CK112" s="63"/>
      <c r="CL112" s="63"/>
      <c r="CM112" s="63"/>
      <c r="CN112" s="69"/>
      <c r="CO112" s="63"/>
      <c r="CP112" s="64"/>
      <c r="CQ112" s="63"/>
    </row>
    <row customHeight="true" ht="17" r="113">
      <c r="A113" s="65"/>
      <c r="B113" s="66"/>
      <c r="C113" s="66"/>
      <c r="D113" s="66"/>
      <c r="E113" s="66"/>
      <c r="F113" s="63"/>
      <c r="G113" s="63"/>
      <c r="H113" s="67"/>
      <c r="I113" s="68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  <c r="BI113" s="63"/>
      <c r="BJ113" s="63"/>
      <c r="BK113" s="63"/>
      <c r="BL113" s="63"/>
      <c r="BM113" s="63"/>
      <c r="BN113" s="63"/>
      <c r="BO113" s="63"/>
      <c r="BP113" s="63"/>
      <c r="BQ113" s="63"/>
      <c r="BR113" s="63"/>
      <c r="BS113" s="63"/>
      <c r="BT113" s="63"/>
      <c r="BU113" s="63"/>
      <c r="BV113" s="63"/>
      <c r="BW113" s="63"/>
      <c r="BX113" s="63"/>
      <c r="BY113" s="63"/>
      <c r="BZ113" s="63"/>
      <c r="CA113" s="63"/>
      <c r="CB113" s="63"/>
      <c r="CC113" s="63"/>
      <c r="CD113" s="63"/>
      <c r="CE113" s="63"/>
      <c r="CF113" s="63"/>
      <c r="CG113" s="63"/>
      <c r="CH113" s="63"/>
      <c r="CI113" s="63"/>
      <c r="CJ113" s="63"/>
      <c r="CK113" s="63"/>
      <c r="CL113" s="63"/>
      <c r="CM113" s="63"/>
      <c r="CN113" s="69"/>
      <c r="CO113" s="63"/>
      <c r="CP113" s="64"/>
      <c r="CQ113" s="63"/>
    </row>
    <row customHeight="true" ht="17" r="114">
      <c r="A114" s="65"/>
      <c r="B114" s="66"/>
      <c r="C114" s="66"/>
      <c r="D114" s="66"/>
      <c r="E114" s="66"/>
      <c r="F114" s="63"/>
      <c r="G114" s="63"/>
      <c r="H114" s="67"/>
      <c r="I114" s="68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  <c r="BI114" s="63"/>
      <c r="BJ114" s="63"/>
      <c r="BK114" s="63"/>
      <c r="BL114" s="63"/>
      <c r="BM114" s="63"/>
      <c r="BN114" s="63"/>
      <c r="BO114" s="63"/>
      <c r="BP114" s="63"/>
      <c r="BQ114" s="63"/>
      <c r="BR114" s="63"/>
      <c r="BS114" s="63"/>
      <c r="BT114" s="63"/>
      <c r="BU114" s="63"/>
      <c r="BV114" s="63"/>
      <c r="BW114" s="63"/>
      <c r="BX114" s="63"/>
      <c r="BY114" s="63"/>
      <c r="BZ114" s="63"/>
      <c r="CA114" s="63"/>
      <c r="CB114" s="63"/>
      <c r="CC114" s="63"/>
      <c r="CD114" s="63"/>
      <c r="CE114" s="63"/>
      <c r="CF114" s="63"/>
      <c r="CG114" s="63"/>
      <c r="CH114" s="63"/>
      <c r="CI114" s="63"/>
      <c r="CJ114" s="63"/>
      <c r="CK114" s="63"/>
      <c r="CL114" s="63"/>
      <c r="CM114" s="63"/>
      <c r="CN114" s="69"/>
      <c r="CO114" s="63"/>
      <c r="CP114" s="64"/>
      <c r="CQ114" s="63"/>
    </row>
    <row customHeight="true" ht="17" r="115">
      <c r="A115" s="65"/>
      <c r="B115" s="66"/>
      <c r="C115" s="66"/>
      <c r="D115" s="66"/>
      <c r="E115" s="66"/>
      <c r="F115" s="63"/>
      <c r="G115" s="63"/>
      <c r="H115" s="67"/>
      <c r="I115" s="68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BH115" s="63"/>
      <c r="BI115" s="63"/>
      <c r="BJ115" s="63"/>
      <c r="BK115" s="63"/>
      <c r="BL115" s="63"/>
      <c r="BM115" s="63"/>
      <c r="BN115" s="63"/>
      <c r="BO115" s="63"/>
      <c r="BP115" s="63"/>
      <c r="BQ115" s="63"/>
      <c r="BR115" s="63"/>
      <c r="BS115" s="63"/>
      <c r="BT115" s="63"/>
      <c r="BU115" s="63"/>
      <c r="BV115" s="63"/>
      <c r="BW115" s="63"/>
      <c r="BX115" s="63"/>
      <c r="BY115" s="63"/>
      <c r="BZ115" s="63"/>
      <c r="CA115" s="63"/>
      <c r="CB115" s="63"/>
      <c r="CC115" s="63"/>
      <c r="CD115" s="63"/>
      <c r="CE115" s="63"/>
      <c r="CF115" s="63"/>
      <c r="CG115" s="63"/>
      <c r="CH115" s="63"/>
      <c r="CI115" s="63"/>
      <c r="CJ115" s="63"/>
      <c r="CK115" s="63"/>
      <c r="CL115" s="63"/>
      <c r="CM115" s="63"/>
      <c r="CN115" s="69"/>
      <c r="CO115" s="63"/>
      <c r="CP115" s="64"/>
      <c r="CQ115" s="63"/>
    </row>
    <row customHeight="true" ht="17" r="116">
      <c r="A116" s="65"/>
      <c r="B116" s="66"/>
      <c r="C116" s="66"/>
      <c r="D116" s="66"/>
      <c r="E116" s="66"/>
      <c r="F116" s="63"/>
      <c r="G116" s="63"/>
      <c r="H116" s="67"/>
      <c r="I116" s="68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/>
      <c r="BJ116" s="63"/>
      <c r="BK116" s="63"/>
      <c r="BL116" s="63"/>
      <c r="BM116" s="63"/>
      <c r="BN116" s="63"/>
      <c r="BO116" s="63"/>
      <c r="BP116" s="63"/>
      <c r="BQ116" s="63"/>
      <c r="BR116" s="63"/>
      <c r="BS116" s="63"/>
      <c r="BT116" s="63"/>
      <c r="BU116" s="63"/>
      <c r="BV116" s="63"/>
      <c r="BW116" s="63"/>
      <c r="BX116" s="63"/>
      <c r="BY116" s="63"/>
      <c r="BZ116" s="63"/>
      <c r="CA116" s="63"/>
      <c r="CB116" s="63"/>
      <c r="CC116" s="63"/>
      <c r="CD116" s="63"/>
      <c r="CE116" s="63"/>
      <c r="CF116" s="63"/>
      <c r="CG116" s="63"/>
      <c r="CH116" s="63"/>
      <c r="CI116" s="63"/>
      <c r="CJ116" s="63"/>
      <c r="CK116" s="63"/>
      <c r="CL116" s="63"/>
      <c r="CM116" s="63"/>
      <c r="CN116" s="69"/>
      <c r="CO116" s="63"/>
      <c r="CP116" s="64"/>
      <c r="CQ116" s="63"/>
    </row>
    <row customHeight="true" ht="17" r="117">
      <c r="A117" s="65"/>
      <c r="B117" s="66"/>
      <c r="C117" s="66"/>
      <c r="D117" s="66"/>
      <c r="E117" s="66"/>
      <c r="F117" s="63"/>
      <c r="G117" s="63"/>
      <c r="H117" s="67"/>
      <c r="I117" s="68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  <c r="BI117" s="63"/>
      <c r="BJ117" s="63"/>
      <c r="BK117" s="63"/>
      <c r="BL117" s="63"/>
      <c r="BM117" s="63"/>
      <c r="BN117" s="63"/>
      <c r="BO117" s="63"/>
      <c r="BP117" s="63"/>
      <c r="BQ117" s="63"/>
      <c r="BR117" s="63"/>
      <c r="BS117" s="63"/>
      <c r="BT117" s="63"/>
      <c r="BU117" s="63"/>
      <c r="BV117" s="63"/>
      <c r="BW117" s="63"/>
      <c r="BX117" s="63"/>
      <c r="BY117" s="63"/>
      <c r="BZ117" s="63"/>
      <c r="CA117" s="63"/>
      <c r="CB117" s="63"/>
      <c r="CC117" s="63"/>
      <c r="CD117" s="63"/>
      <c r="CE117" s="63"/>
      <c r="CF117" s="63"/>
      <c r="CG117" s="63"/>
      <c r="CH117" s="63"/>
      <c r="CI117" s="63"/>
      <c r="CJ117" s="63"/>
      <c r="CK117" s="63"/>
      <c r="CL117" s="63"/>
      <c r="CM117" s="63"/>
      <c r="CN117" s="69"/>
      <c r="CO117" s="63"/>
      <c r="CP117" s="64"/>
      <c r="CQ117" s="63"/>
    </row>
    <row customHeight="true" ht="17" r="118">
      <c r="A118" s="65"/>
      <c r="B118" s="66"/>
      <c r="C118" s="66"/>
      <c r="D118" s="66"/>
      <c r="E118" s="66"/>
      <c r="F118" s="63"/>
      <c r="G118" s="63"/>
      <c r="H118" s="67"/>
      <c r="I118" s="68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  <c r="BI118" s="63"/>
      <c r="BJ118" s="63"/>
      <c r="BK118" s="63"/>
      <c r="BL118" s="63"/>
      <c r="BM118" s="63"/>
      <c r="BN118" s="63"/>
      <c r="BO118" s="63"/>
      <c r="BP118" s="63"/>
      <c r="BQ118" s="63"/>
      <c r="BR118" s="63"/>
      <c r="BS118" s="63"/>
      <c r="BT118" s="63"/>
      <c r="BU118" s="63"/>
      <c r="BV118" s="63"/>
      <c r="BW118" s="63"/>
      <c r="BX118" s="63"/>
      <c r="BY118" s="63"/>
      <c r="BZ118" s="63"/>
      <c r="CA118" s="63"/>
      <c r="CB118" s="63"/>
      <c r="CC118" s="63"/>
      <c r="CD118" s="63"/>
      <c r="CE118" s="63"/>
      <c r="CF118" s="63"/>
      <c r="CG118" s="63"/>
      <c r="CH118" s="63"/>
      <c r="CI118" s="63"/>
      <c r="CJ118" s="63"/>
      <c r="CK118" s="63"/>
      <c r="CL118" s="63"/>
      <c r="CM118" s="63"/>
      <c r="CN118" s="69"/>
      <c r="CO118" s="63"/>
      <c r="CP118" s="64"/>
      <c r="CQ118" s="63"/>
    </row>
    <row customHeight="true" ht="17" r="119">
      <c r="A119" s="65"/>
      <c r="B119" s="66"/>
      <c r="C119" s="66"/>
      <c r="D119" s="66"/>
      <c r="E119" s="66"/>
      <c r="F119" s="63"/>
      <c r="G119" s="63"/>
      <c r="H119" s="67"/>
      <c r="I119" s="68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  <c r="BI119" s="63"/>
      <c r="BJ119" s="63"/>
      <c r="BK119" s="63"/>
      <c r="BL119" s="63"/>
      <c r="BM119" s="63"/>
      <c r="BN119" s="63"/>
      <c r="BO119" s="63"/>
      <c r="BP119" s="63"/>
      <c r="BQ119" s="63"/>
      <c r="BR119" s="63"/>
      <c r="BS119" s="63"/>
      <c r="BT119" s="63"/>
      <c r="BU119" s="63"/>
      <c r="BV119" s="63"/>
      <c r="BW119" s="63"/>
      <c r="BX119" s="63"/>
      <c r="BY119" s="63"/>
      <c r="BZ119" s="63"/>
      <c r="CA119" s="63"/>
      <c r="CB119" s="63"/>
      <c r="CC119" s="63"/>
      <c r="CD119" s="63"/>
      <c r="CE119" s="63"/>
      <c r="CF119" s="63"/>
      <c r="CG119" s="63"/>
      <c r="CH119" s="63"/>
      <c r="CI119" s="63"/>
      <c r="CJ119" s="63"/>
      <c r="CK119" s="63"/>
      <c r="CL119" s="63"/>
      <c r="CM119" s="63"/>
      <c r="CN119" s="69"/>
      <c r="CO119" s="63"/>
      <c r="CP119" s="64"/>
      <c r="CQ119" s="63"/>
    </row>
    <row customHeight="true" ht="17" r="120">
      <c r="A120" s="65"/>
      <c r="B120" s="66"/>
      <c r="C120" s="66"/>
      <c r="D120" s="66"/>
      <c r="E120" s="66"/>
      <c r="F120" s="63"/>
      <c r="G120" s="63"/>
      <c r="H120" s="67"/>
      <c r="I120" s="68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BH120" s="63"/>
      <c r="BI120" s="63"/>
      <c r="BJ120" s="63"/>
      <c r="BK120" s="63"/>
      <c r="BL120" s="63"/>
      <c r="BM120" s="63"/>
      <c r="BN120" s="63"/>
      <c r="BO120" s="63"/>
      <c r="BP120" s="63"/>
      <c r="BQ120" s="63"/>
      <c r="BR120" s="63"/>
      <c r="BS120" s="63"/>
      <c r="BT120" s="63"/>
      <c r="BU120" s="63"/>
      <c r="BV120" s="63"/>
      <c r="BW120" s="63"/>
      <c r="BX120" s="63"/>
      <c r="BY120" s="63"/>
      <c r="BZ120" s="63"/>
      <c r="CA120" s="63"/>
      <c r="CB120" s="63"/>
      <c r="CC120" s="63"/>
      <c r="CD120" s="63"/>
      <c r="CE120" s="63"/>
      <c r="CF120" s="63"/>
      <c r="CG120" s="63"/>
      <c r="CH120" s="63"/>
      <c r="CI120" s="63"/>
      <c r="CJ120" s="63"/>
      <c r="CK120" s="63"/>
      <c r="CL120" s="63"/>
      <c r="CM120" s="63"/>
      <c r="CN120" s="69"/>
      <c r="CO120" s="63"/>
      <c r="CP120" s="64"/>
      <c r="CQ120" s="63"/>
    </row>
    <row customHeight="true" ht="17" r="121">
      <c r="A121" s="65"/>
      <c r="B121" s="66"/>
      <c r="C121" s="66"/>
      <c r="D121" s="66"/>
      <c r="E121" s="66"/>
      <c r="F121" s="63"/>
      <c r="G121" s="63"/>
      <c r="H121" s="67"/>
      <c r="I121" s="68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  <c r="BI121" s="63"/>
      <c r="BJ121" s="63"/>
      <c r="BK121" s="63"/>
      <c r="BL121" s="63"/>
      <c r="BM121" s="63"/>
      <c r="BN121" s="63"/>
      <c r="BO121" s="63"/>
      <c r="BP121" s="63"/>
      <c r="BQ121" s="63"/>
      <c r="BR121" s="63"/>
      <c r="BS121" s="63"/>
      <c r="BT121" s="63"/>
      <c r="BU121" s="63"/>
      <c r="BV121" s="63"/>
      <c r="BW121" s="63"/>
      <c r="BX121" s="63"/>
      <c r="BY121" s="63"/>
      <c r="BZ121" s="63"/>
      <c r="CA121" s="63"/>
      <c r="CB121" s="63"/>
      <c r="CC121" s="63"/>
      <c r="CD121" s="63"/>
      <c r="CE121" s="63"/>
      <c r="CF121" s="63"/>
      <c r="CG121" s="63"/>
      <c r="CH121" s="63"/>
      <c r="CI121" s="63"/>
      <c r="CJ121" s="63"/>
      <c r="CK121" s="63"/>
      <c r="CL121" s="63"/>
      <c r="CM121" s="63"/>
      <c r="CN121" s="69"/>
      <c r="CO121" s="63"/>
      <c r="CP121" s="64"/>
      <c r="CQ121" s="63"/>
    </row>
    <row customHeight="true" ht="17" r="122">
      <c r="A122" s="65"/>
      <c r="B122" s="66"/>
      <c r="C122" s="66"/>
      <c r="D122" s="66"/>
      <c r="E122" s="66"/>
      <c r="F122" s="63"/>
      <c r="G122" s="63"/>
      <c r="H122" s="67"/>
      <c r="I122" s="68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  <c r="BI122" s="63"/>
      <c r="BJ122" s="63"/>
      <c r="BK122" s="63"/>
      <c r="BL122" s="63"/>
      <c r="BM122" s="63"/>
      <c r="BN122" s="63"/>
      <c r="BO122" s="63"/>
      <c r="BP122" s="63"/>
      <c r="BQ122" s="63"/>
      <c r="BR122" s="63"/>
      <c r="BS122" s="63"/>
      <c r="BT122" s="63"/>
      <c r="BU122" s="63"/>
      <c r="BV122" s="63"/>
      <c r="BW122" s="63"/>
      <c r="BX122" s="63"/>
      <c r="BY122" s="63"/>
      <c r="BZ122" s="63"/>
      <c r="CA122" s="63"/>
      <c r="CB122" s="63"/>
      <c r="CC122" s="63"/>
      <c r="CD122" s="63"/>
      <c r="CE122" s="63"/>
      <c r="CF122" s="63"/>
      <c r="CG122" s="63"/>
      <c r="CH122" s="63"/>
      <c r="CI122" s="63"/>
      <c r="CJ122" s="63"/>
      <c r="CK122" s="63"/>
      <c r="CL122" s="63"/>
      <c r="CM122" s="63"/>
      <c r="CN122" s="69"/>
      <c r="CO122" s="63"/>
      <c r="CP122" s="64"/>
      <c r="CQ122" s="63"/>
    </row>
    <row customHeight="true" ht="17" r="123">
      <c r="A123" s="65"/>
      <c r="B123" s="66"/>
      <c r="C123" s="66"/>
      <c r="D123" s="66"/>
      <c r="E123" s="66"/>
      <c r="F123" s="63"/>
      <c r="G123" s="63"/>
      <c r="H123" s="67"/>
      <c r="I123" s="68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  <c r="BI123" s="63"/>
      <c r="BJ123" s="63"/>
      <c r="BK123" s="63"/>
      <c r="BL123" s="63"/>
      <c r="BM123" s="63"/>
      <c r="BN123" s="63"/>
      <c r="BO123" s="63"/>
      <c r="BP123" s="63"/>
      <c r="BQ123" s="63"/>
      <c r="BR123" s="63"/>
      <c r="BS123" s="63"/>
      <c r="BT123" s="63"/>
      <c r="BU123" s="63"/>
      <c r="BV123" s="63"/>
      <c r="BW123" s="63"/>
      <c r="BX123" s="63"/>
      <c r="BY123" s="63"/>
      <c r="BZ123" s="63"/>
      <c r="CA123" s="63"/>
      <c r="CB123" s="63"/>
      <c r="CC123" s="63"/>
      <c r="CD123" s="63"/>
      <c r="CE123" s="63"/>
      <c r="CF123" s="63"/>
      <c r="CG123" s="63"/>
      <c r="CH123" s="63"/>
      <c r="CI123" s="63"/>
      <c r="CJ123" s="63"/>
      <c r="CK123" s="63"/>
      <c r="CL123" s="63"/>
      <c r="CM123" s="63"/>
      <c r="CN123" s="69"/>
      <c r="CO123" s="63"/>
      <c r="CP123" s="64"/>
      <c r="CQ123" s="63"/>
    </row>
    <row customHeight="true" ht="17" r="124">
      <c r="A124" s="65"/>
      <c r="B124" s="66"/>
      <c r="C124" s="66"/>
      <c r="D124" s="66"/>
      <c r="E124" s="66"/>
      <c r="F124" s="63"/>
      <c r="G124" s="63"/>
      <c r="H124" s="67"/>
      <c r="I124" s="68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  <c r="BI124" s="63"/>
      <c r="BJ124" s="63"/>
      <c r="BK124" s="63"/>
      <c r="BL124" s="63"/>
      <c r="BM124" s="63"/>
      <c r="BN124" s="63"/>
      <c r="BO124" s="63"/>
      <c r="BP124" s="63"/>
      <c r="BQ124" s="63"/>
      <c r="BR124" s="63"/>
      <c r="BS124" s="63"/>
      <c r="BT124" s="63"/>
      <c r="BU124" s="63"/>
      <c r="BV124" s="63"/>
      <c r="BW124" s="63"/>
      <c r="BX124" s="63"/>
      <c r="BY124" s="63"/>
      <c r="BZ124" s="63"/>
      <c r="CA124" s="63"/>
      <c r="CB124" s="63"/>
      <c r="CC124" s="63"/>
      <c r="CD124" s="63"/>
      <c r="CE124" s="63"/>
      <c r="CF124" s="63"/>
      <c r="CG124" s="63"/>
      <c r="CH124" s="63"/>
      <c r="CI124" s="63"/>
      <c r="CJ124" s="63"/>
      <c r="CK124" s="63"/>
      <c r="CL124" s="63"/>
      <c r="CM124" s="63"/>
      <c r="CN124" s="69"/>
      <c r="CO124" s="63"/>
      <c r="CP124" s="64"/>
      <c r="CQ124" s="63"/>
    </row>
    <row customHeight="true" ht="17" r="125">
      <c r="A125" s="65"/>
      <c r="B125" s="66"/>
      <c r="C125" s="66"/>
      <c r="D125" s="66"/>
      <c r="E125" s="66"/>
      <c r="F125" s="63"/>
      <c r="G125" s="63"/>
      <c r="H125" s="67"/>
      <c r="I125" s="68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BH125" s="63"/>
      <c r="BI125" s="63"/>
      <c r="BJ125" s="63"/>
      <c r="BK125" s="63"/>
      <c r="BL125" s="63"/>
      <c r="BM125" s="63"/>
      <c r="BN125" s="63"/>
      <c r="BO125" s="63"/>
      <c r="BP125" s="63"/>
      <c r="BQ125" s="63"/>
      <c r="BR125" s="63"/>
      <c r="BS125" s="63"/>
      <c r="BT125" s="63"/>
      <c r="BU125" s="63"/>
      <c r="BV125" s="63"/>
      <c r="BW125" s="63"/>
      <c r="BX125" s="63"/>
      <c r="BY125" s="63"/>
      <c r="BZ125" s="63"/>
      <c r="CA125" s="63"/>
      <c r="CB125" s="63"/>
      <c r="CC125" s="63"/>
      <c r="CD125" s="63"/>
      <c r="CE125" s="63"/>
      <c r="CF125" s="63"/>
      <c r="CG125" s="63"/>
      <c r="CH125" s="63"/>
      <c r="CI125" s="63"/>
      <c r="CJ125" s="63"/>
      <c r="CK125" s="63"/>
      <c r="CL125" s="63"/>
      <c r="CM125" s="63"/>
      <c r="CN125" s="69"/>
      <c r="CO125" s="63"/>
      <c r="CP125" s="64"/>
      <c r="CQ125" s="63"/>
    </row>
    <row customHeight="true" ht="17" r="126">
      <c r="A126" s="65"/>
      <c r="B126" s="66"/>
      <c r="C126" s="66"/>
      <c r="D126" s="66"/>
      <c r="E126" s="66"/>
      <c r="F126" s="63"/>
      <c r="G126" s="63"/>
      <c r="H126" s="67"/>
      <c r="I126" s="68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  <c r="BI126" s="63"/>
      <c r="BJ126" s="63"/>
      <c r="BK126" s="63"/>
      <c r="BL126" s="63"/>
      <c r="BM126" s="63"/>
      <c r="BN126" s="63"/>
      <c r="BO126" s="63"/>
      <c r="BP126" s="63"/>
      <c r="BQ126" s="63"/>
      <c r="BR126" s="63"/>
      <c r="BS126" s="63"/>
      <c r="BT126" s="63"/>
      <c r="BU126" s="63"/>
      <c r="BV126" s="63"/>
      <c r="BW126" s="63"/>
      <c r="BX126" s="63"/>
      <c r="BY126" s="63"/>
      <c r="BZ126" s="63"/>
      <c r="CA126" s="63"/>
      <c r="CB126" s="63"/>
      <c r="CC126" s="63"/>
      <c r="CD126" s="63"/>
      <c r="CE126" s="63"/>
      <c r="CF126" s="63"/>
      <c r="CG126" s="63"/>
      <c r="CH126" s="63"/>
      <c r="CI126" s="63"/>
      <c r="CJ126" s="63"/>
      <c r="CK126" s="63"/>
      <c r="CL126" s="63"/>
      <c r="CM126" s="63"/>
      <c r="CN126" s="69"/>
      <c r="CO126" s="63"/>
      <c r="CP126" s="64"/>
      <c r="CQ126" s="63"/>
    </row>
    <row customHeight="true" ht="17" r="127">
      <c r="A127" s="65"/>
      <c r="B127" s="66"/>
      <c r="C127" s="66"/>
      <c r="D127" s="66"/>
      <c r="E127" s="66"/>
      <c r="F127" s="63"/>
      <c r="G127" s="63"/>
      <c r="H127" s="67"/>
      <c r="I127" s="68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63"/>
      <c r="BF127" s="63"/>
      <c r="BG127" s="63"/>
      <c r="BH127" s="63"/>
      <c r="BI127" s="63"/>
      <c r="BJ127" s="63"/>
      <c r="BK127" s="63"/>
      <c r="BL127" s="63"/>
      <c r="BM127" s="63"/>
      <c r="BN127" s="63"/>
      <c r="BO127" s="63"/>
      <c r="BP127" s="63"/>
      <c r="BQ127" s="63"/>
      <c r="BR127" s="63"/>
      <c r="BS127" s="63"/>
      <c r="BT127" s="63"/>
      <c r="BU127" s="63"/>
      <c r="BV127" s="63"/>
      <c r="BW127" s="63"/>
      <c r="BX127" s="63"/>
      <c r="BY127" s="63"/>
      <c r="BZ127" s="63"/>
      <c r="CA127" s="63"/>
      <c r="CB127" s="63"/>
      <c r="CC127" s="63"/>
      <c r="CD127" s="63"/>
      <c r="CE127" s="63"/>
      <c r="CF127" s="63"/>
      <c r="CG127" s="63"/>
      <c r="CH127" s="63"/>
      <c r="CI127" s="63"/>
      <c r="CJ127" s="63"/>
      <c r="CK127" s="63"/>
      <c r="CL127" s="63"/>
      <c r="CM127" s="63"/>
      <c r="CN127" s="69"/>
      <c r="CO127" s="63"/>
      <c r="CP127" s="64"/>
      <c r="CQ127" s="63"/>
    </row>
    <row customHeight="true" ht="17" r="128">
      <c r="A128" s="65"/>
      <c r="B128" s="66"/>
      <c r="C128" s="66"/>
      <c r="D128" s="66"/>
      <c r="E128" s="66"/>
      <c r="F128" s="63"/>
      <c r="G128" s="63"/>
      <c r="H128" s="67"/>
      <c r="I128" s="68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  <c r="BI128" s="63"/>
      <c r="BJ128" s="63"/>
      <c r="BK128" s="63"/>
      <c r="BL128" s="63"/>
      <c r="BM128" s="63"/>
      <c r="BN128" s="63"/>
      <c r="BO128" s="63"/>
      <c r="BP128" s="63"/>
      <c r="BQ128" s="63"/>
      <c r="BR128" s="63"/>
      <c r="BS128" s="63"/>
      <c r="BT128" s="63"/>
      <c r="BU128" s="63"/>
      <c r="BV128" s="63"/>
      <c r="BW128" s="63"/>
      <c r="BX128" s="63"/>
      <c r="BY128" s="63"/>
      <c r="BZ128" s="63"/>
      <c r="CA128" s="63"/>
      <c r="CB128" s="63"/>
      <c r="CC128" s="63"/>
      <c r="CD128" s="63"/>
      <c r="CE128" s="63"/>
      <c r="CF128" s="63"/>
      <c r="CG128" s="63"/>
      <c r="CH128" s="63"/>
      <c r="CI128" s="63"/>
      <c r="CJ128" s="63"/>
      <c r="CK128" s="63"/>
      <c r="CL128" s="63"/>
      <c r="CM128" s="63"/>
      <c r="CN128" s="69"/>
      <c r="CO128" s="63"/>
      <c r="CP128" s="64"/>
      <c r="CQ128" s="63"/>
    </row>
    <row customHeight="true" ht="17" r="129">
      <c r="A129" s="65"/>
      <c r="B129" s="66"/>
      <c r="C129" s="66"/>
      <c r="D129" s="66"/>
      <c r="E129" s="66"/>
      <c r="F129" s="63"/>
      <c r="G129" s="63"/>
      <c r="H129" s="67"/>
      <c r="I129" s="68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  <c r="BI129" s="63"/>
      <c r="BJ129" s="63"/>
      <c r="BK129" s="63"/>
      <c r="BL129" s="63"/>
      <c r="BM129" s="63"/>
      <c r="BN129" s="63"/>
      <c r="BO129" s="63"/>
      <c r="BP129" s="63"/>
      <c r="BQ129" s="63"/>
      <c r="BR129" s="63"/>
      <c r="BS129" s="63"/>
      <c r="BT129" s="63"/>
      <c r="BU129" s="63"/>
      <c r="BV129" s="63"/>
      <c r="BW129" s="63"/>
      <c r="BX129" s="63"/>
      <c r="BY129" s="63"/>
      <c r="BZ129" s="63"/>
      <c r="CA129" s="63"/>
      <c r="CB129" s="63"/>
      <c r="CC129" s="63"/>
      <c r="CD129" s="63"/>
      <c r="CE129" s="63"/>
      <c r="CF129" s="63"/>
      <c r="CG129" s="63"/>
      <c r="CH129" s="63"/>
      <c r="CI129" s="63"/>
      <c r="CJ129" s="63"/>
      <c r="CK129" s="63"/>
      <c r="CL129" s="63"/>
      <c r="CM129" s="63"/>
      <c r="CN129" s="69"/>
      <c r="CO129" s="63"/>
      <c r="CP129" s="64"/>
      <c r="CQ129" s="63"/>
    </row>
    <row customHeight="true" ht="17" r="130">
      <c r="A130" s="65"/>
      <c r="B130" s="66"/>
      <c r="C130" s="66"/>
      <c r="D130" s="66"/>
      <c r="E130" s="66"/>
      <c r="F130" s="63"/>
      <c r="G130" s="63"/>
      <c r="H130" s="67"/>
      <c r="I130" s="68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BH130" s="63"/>
      <c r="BI130" s="63"/>
      <c r="BJ130" s="63"/>
      <c r="BK130" s="63"/>
      <c r="BL130" s="63"/>
      <c r="BM130" s="63"/>
      <c r="BN130" s="63"/>
      <c r="BO130" s="63"/>
      <c r="BP130" s="63"/>
      <c r="BQ130" s="63"/>
      <c r="BR130" s="63"/>
      <c r="BS130" s="63"/>
      <c r="BT130" s="63"/>
      <c r="BU130" s="63"/>
      <c r="BV130" s="63"/>
      <c r="BW130" s="63"/>
      <c r="BX130" s="63"/>
      <c r="BY130" s="63"/>
      <c r="BZ130" s="63"/>
      <c r="CA130" s="63"/>
      <c r="CB130" s="63"/>
      <c r="CC130" s="63"/>
      <c r="CD130" s="63"/>
      <c r="CE130" s="63"/>
      <c r="CF130" s="63"/>
      <c r="CG130" s="63"/>
      <c r="CH130" s="63"/>
      <c r="CI130" s="63"/>
      <c r="CJ130" s="63"/>
      <c r="CK130" s="63"/>
      <c r="CL130" s="63"/>
      <c r="CM130" s="63"/>
      <c r="CN130" s="69"/>
      <c r="CO130" s="63"/>
      <c r="CP130" s="64"/>
      <c r="CQ130" s="63"/>
    </row>
    <row customHeight="true" ht="17" r="131">
      <c r="A131" s="65"/>
      <c r="B131" s="66"/>
      <c r="C131" s="66"/>
      <c r="D131" s="66"/>
      <c r="E131" s="66"/>
      <c r="F131" s="63"/>
      <c r="G131" s="63"/>
      <c r="H131" s="67"/>
      <c r="I131" s="68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  <c r="BI131" s="63"/>
      <c r="BJ131" s="63"/>
      <c r="BK131" s="63"/>
      <c r="BL131" s="63"/>
      <c r="BM131" s="63"/>
      <c r="BN131" s="63"/>
      <c r="BO131" s="63"/>
      <c r="BP131" s="63"/>
      <c r="BQ131" s="63"/>
      <c r="BR131" s="63"/>
      <c r="BS131" s="63"/>
      <c r="BT131" s="63"/>
      <c r="BU131" s="63"/>
      <c r="BV131" s="63"/>
      <c r="BW131" s="63"/>
      <c r="BX131" s="63"/>
      <c r="BY131" s="63"/>
      <c r="BZ131" s="63"/>
      <c r="CA131" s="63"/>
      <c r="CB131" s="63"/>
      <c r="CC131" s="63"/>
      <c r="CD131" s="63"/>
      <c r="CE131" s="63"/>
      <c r="CF131" s="63"/>
      <c r="CG131" s="63"/>
      <c r="CH131" s="63"/>
      <c r="CI131" s="63"/>
      <c r="CJ131" s="63"/>
      <c r="CK131" s="63"/>
      <c r="CL131" s="63"/>
      <c r="CM131" s="63"/>
      <c r="CN131" s="69"/>
      <c r="CO131" s="63"/>
      <c r="CP131" s="64"/>
      <c r="CQ131" s="63"/>
    </row>
    <row customHeight="true" ht="17" r="132">
      <c r="A132" s="65"/>
      <c r="B132" s="66"/>
      <c r="C132" s="66"/>
      <c r="D132" s="66"/>
      <c r="E132" s="66"/>
      <c r="F132" s="63"/>
      <c r="G132" s="63"/>
      <c r="H132" s="67"/>
      <c r="I132" s="68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  <c r="BI132" s="63"/>
      <c r="BJ132" s="63"/>
      <c r="BK132" s="63"/>
      <c r="BL132" s="63"/>
      <c r="BM132" s="63"/>
      <c r="BN132" s="63"/>
      <c r="BO132" s="63"/>
      <c r="BP132" s="63"/>
      <c r="BQ132" s="63"/>
      <c r="BR132" s="63"/>
      <c r="BS132" s="63"/>
      <c r="BT132" s="63"/>
      <c r="BU132" s="63"/>
      <c r="BV132" s="63"/>
      <c r="BW132" s="63"/>
      <c r="BX132" s="63"/>
      <c r="BY132" s="63"/>
      <c r="BZ132" s="63"/>
      <c r="CA132" s="63"/>
      <c r="CB132" s="63"/>
      <c r="CC132" s="63"/>
      <c r="CD132" s="63"/>
      <c r="CE132" s="63"/>
      <c r="CF132" s="63"/>
      <c r="CG132" s="63"/>
      <c r="CH132" s="63"/>
      <c r="CI132" s="63"/>
      <c r="CJ132" s="63"/>
      <c r="CK132" s="63"/>
      <c r="CL132" s="63"/>
      <c r="CM132" s="63"/>
      <c r="CN132" s="69"/>
      <c r="CO132" s="63"/>
      <c r="CP132" s="64"/>
      <c r="CQ132" s="63"/>
    </row>
    <row customHeight="true" ht="17" r="133">
      <c r="A133" s="65"/>
      <c r="B133" s="66"/>
      <c r="C133" s="66"/>
      <c r="D133" s="66"/>
      <c r="E133" s="66"/>
      <c r="F133" s="63"/>
      <c r="G133" s="63"/>
      <c r="H133" s="67"/>
      <c r="I133" s="68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  <c r="BI133" s="63"/>
      <c r="BJ133" s="63"/>
      <c r="BK133" s="63"/>
      <c r="BL133" s="63"/>
      <c r="BM133" s="63"/>
      <c r="BN133" s="63"/>
      <c r="BO133" s="63"/>
      <c r="BP133" s="63"/>
      <c r="BQ133" s="63"/>
      <c r="BR133" s="63"/>
      <c r="BS133" s="63"/>
      <c r="BT133" s="63"/>
      <c r="BU133" s="63"/>
      <c r="BV133" s="63"/>
      <c r="BW133" s="63"/>
      <c r="BX133" s="63"/>
      <c r="BY133" s="63"/>
      <c r="BZ133" s="63"/>
      <c r="CA133" s="63"/>
      <c r="CB133" s="63"/>
      <c r="CC133" s="63"/>
      <c r="CD133" s="63"/>
      <c r="CE133" s="63"/>
      <c r="CF133" s="63"/>
      <c r="CG133" s="63"/>
      <c r="CH133" s="63"/>
      <c r="CI133" s="63"/>
      <c r="CJ133" s="63"/>
      <c r="CK133" s="63"/>
      <c r="CL133" s="63"/>
      <c r="CM133" s="63"/>
      <c r="CN133" s="69"/>
      <c r="CO133" s="63"/>
      <c r="CP133" s="64"/>
      <c r="CQ133" s="63"/>
    </row>
    <row customHeight="true" ht="17" r="134">
      <c r="A134" s="65"/>
      <c r="B134" s="66"/>
      <c r="C134" s="66"/>
      <c r="D134" s="66"/>
      <c r="E134" s="66"/>
      <c r="F134" s="63"/>
      <c r="G134" s="63"/>
      <c r="H134" s="67"/>
      <c r="I134" s="68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  <c r="BI134" s="63"/>
      <c r="BJ134" s="63"/>
      <c r="BK134" s="63"/>
      <c r="BL134" s="63"/>
      <c r="BM134" s="63"/>
      <c r="BN134" s="63"/>
      <c r="BO134" s="63"/>
      <c r="BP134" s="63"/>
      <c r="BQ134" s="63"/>
      <c r="BR134" s="63"/>
      <c r="BS134" s="63"/>
      <c r="BT134" s="63"/>
      <c r="BU134" s="63"/>
      <c r="BV134" s="63"/>
      <c r="BW134" s="63"/>
      <c r="BX134" s="63"/>
      <c r="BY134" s="63"/>
      <c r="BZ134" s="63"/>
      <c r="CA134" s="63"/>
      <c r="CB134" s="63"/>
      <c r="CC134" s="63"/>
      <c r="CD134" s="63"/>
      <c r="CE134" s="63"/>
      <c r="CF134" s="63"/>
      <c r="CG134" s="63"/>
      <c r="CH134" s="63"/>
      <c r="CI134" s="63"/>
      <c r="CJ134" s="63"/>
      <c r="CK134" s="63"/>
      <c r="CL134" s="63"/>
      <c r="CM134" s="63"/>
      <c r="CN134" s="69"/>
      <c r="CO134" s="63"/>
      <c r="CP134" s="64"/>
      <c r="CQ134" s="63"/>
    </row>
    <row customHeight="true" ht="17" r="135">
      <c r="A135" s="65"/>
      <c r="B135" s="66"/>
      <c r="C135" s="66"/>
      <c r="D135" s="66"/>
      <c r="E135" s="66"/>
      <c r="F135" s="63"/>
      <c r="G135" s="63"/>
      <c r="H135" s="67"/>
      <c r="I135" s="68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BH135" s="63"/>
      <c r="BI135" s="63"/>
      <c r="BJ135" s="63"/>
      <c r="BK135" s="63"/>
      <c r="BL135" s="63"/>
      <c r="BM135" s="63"/>
      <c r="BN135" s="63"/>
      <c r="BO135" s="63"/>
      <c r="BP135" s="63"/>
      <c r="BQ135" s="63"/>
      <c r="BR135" s="63"/>
      <c r="BS135" s="63"/>
      <c r="BT135" s="63"/>
      <c r="BU135" s="63"/>
      <c r="BV135" s="63"/>
      <c r="BW135" s="63"/>
      <c r="BX135" s="63"/>
      <c r="BY135" s="63"/>
      <c r="BZ135" s="63"/>
      <c r="CA135" s="63"/>
      <c r="CB135" s="63"/>
      <c r="CC135" s="63"/>
      <c r="CD135" s="63"/>
      <c r="CE135" s="63"/>
      <c r="CF135" s="63"/>
      <c r="CG135" s="63"/>
      <c r="CH135" s="63"/>
      <c r="CI135" s="63"/>
      <c r="CJ135" s="63"/>
      <c r="CK135" s="63"/>
      <c r="CL135" s="63"/>
      <c r="CM135" s="63"/>
      <c r="CN135" s="69"/>
      <c r="CO135" s="63"/>
      <c r="CP135" s="64"/>
      <c r="CQ135" s="63"/>
    </row>
    <row customHeight="true" ht="17" r="136">
      <c r="A136" s="65"/>
      <c r="B136" s="66"/>
      <c r="C136" s="66"/>
      <c r="D136" s="66"/>
      <c r="E136" s="66"/>
      <c r="F136" s="63"/>
      <c r="G136" s="63"/>
      <c r="H136" s="67"/>
      <c r="I136" s="68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BH136" s="63"/>
      <c r="BI136" s="63"/>
      <c r="BJ136" s="63"/>
      <c r="BK136" s="63"/>
      <c r="BL136" s="63"/>
      <c r="BM136" s="63"/>
      <c r="BN136" s="63"/>
      <c r="BO136" s="63"/>
      <c r="BP136" s="63"/>
      <c r="BQ136" s="63"/>
      <c r="BR136" s="63"/>
      <c r="BS136" s="63"/>
      <c r="BT136" s="63"/>
      <c r="BU136" s="63"/>
      <c r="BV136" s="63"/>
      <c r="BW136" s="63"/>
      <c r="BX136" s="63"/>
      <c r="BY136" s="63"/>
      <c r="BZ136" s="63"/>
      <c r="CA136" s="63"/>
      <c r="CB136" s="63"/>
      <c r="CC136" s="63"/>
      <c r="CD136" s="63"/>
      <c r="CE136" s="63"/>
      <c r="CF136" s="63"/>
      <c r="CG136" s="63"/>
      <c r="CH136" s="63"/>
      <c r="CI136" s="63"/>
      <c r="CJ136" s="63"/>
      <c r="CK136" s="63"/>
      <c r="CL136" s="63"/>
      <c r="CM136" s="63"/>
      <c r="CN136" s="69"/>
      <c r="CO136" s="63"/>
      <c r="CP136" s="64"/>
      <c r="CQ136" s="63"/>
    </row>
    <row customHeight="true" ht="17" r="137">
      <c r="A137" s="65"/>
      <c r="B137" s="66"/>
      <c r="C137" s="66"/>
      <c r="D137" s="66"/>
      <c r="E137" s="66"/>
      <c r="F137" s="63"/>
      <c r="G137" s="63"/>
      <c r="H137" s="67"/>
      <c r="I137" s="68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  <c r="BI137" s="63"/>
      <c r="BJ137" s="63"/>
      <c r="BK137" s="63"/>
      <c r="BL137" s="63"/>
      <c r="BM137" s="63"/>
      <c r="BN137" s="63"/>
      <c r="BO137" s="63"/>
      <c r="BP137" s="63"/>
      <c r="BQ137" s="63"/>
      <c r="BR137" s="63"/>
      <c r="BS137" s="63"/>
      <c r="BT137" s="63"/>
      <c r="BU137" s="63"/>
      <c r="BV137" s="63"/>
      <c r="BW137" s="63"/>
      <c r="BX137" s="63"/>
      <c r="BY137" s="63"/>
      <c r="BZ137" s="63"/>
      <c r="CA137" s="63"/>
      <c r="CB137" s="63"/>
      <c r="CC137" s="63"/>
      <c r="CD137" s="63"/>
      <c r="CE137" s="63"/>
      <c r="CF137" s="63"/>
      <c r="CG137" s="63"/>
      <c r="CH137" s="63"/>
      <c r="CI137" s="63"/>
      <c r="CJ137" s="63"/>
      <c r="CK137" s="63"/>
      <c r="CL137" s="63"/>
      <c r="CM137" s="63"/>
      <c r="CN137" s="69"/>
      <c r="CO137" s="63"/>
      <c r="CP137" s="64"/>
      <c r="CQ137" s="63"/>
    </row>
    <row customHeight="true" ht="17" r="138">
      <c r="A138" s="65"/>
      <c r="B138" s="66"/>
      <c r="C138" s="66"/>
      <c r="D138" s="66"/>
      <c r="E138" s="66"/>
      <c r="F138" s="63"/>
      <c r="G138" s="63"/>
      <c r="H138" s="67"/>
      <c r="I138" s="68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  <c r="BI138" s="63"/>
      <c r="BJ138" s="63"/>
      <c r="BK138" s="63"/>
      <c r="BL138" s="63"/>
      <c r="BM138" s="63"/>
      <c r="BN138" s="63"/>
      <c r="BO138" s="63"/>
      <c r="BP138" s="63"/>
      <c r="BQ138" s="63"/>
      <c r="BR138" s="63"/>
      <c r="BS138" s="63"/>
      <c r="BT138" s="63"/>
      <c r="BU138" s="63"/>
      <c r="BV138" s="63"/>
      <c r="BW138" s="63"/>
      <c r="BX138" s="63"/>
      <c r="BY138" s="63"/>
      <c r="BZ138" s="63"/>
      <c r="CA138" s="63"/>
      <c r="CB138" s="63"/>
      <c r="CC138" s="63"/>
      <c r="CD138" s="63"/>
      <c r="CE138" s="63"/>
      <c r="CF138" s="63"/>
      <c r="CG138" s="63"/>
      <c r="CH138" s="63"/>
      <c r="CI138" s="63"/>
      <c r="CJ138" s="63"/>
      <c r="CK138" s="63"/>
      <c r="CL138" s="63"/>
      <c r="CM138" s="63"/>
      <c r="CN138" s="69"/>
      <c r="CO138" s="63"/>
      <c r="CP138" s="64"/>
      <c r="CQ138" s="63"/>
    </row>
    <row customHeight="true" ht="17" r="139">
      <c r="A139" s="65"/>
      <c r="B139" s="66"/>
      <c r="C139" s="66"/>
      <c r="D139" s="66"/>
      <c r="E139" s="66"/>
      <c r="F139" s="63"/>
      <c r="G139" s="63"/>
      <c r="H139" s="67"/>
      <c r="I139" s="68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/>
      <c r="BJ139" s="63"/>
      <c r="BK139" s="63"/>
      <c r="BL139" s="63"/>
      <c r="BM139" s="63"/>
      <c r="BN139" s="63"/>
      <c r="BO139" s="63"/>
      <c r="BP139" s="63"/>
      <c r="BQ139" s="63"/>
      <c r="BR139" s="63"/>
      <c r="BS139" s="63"/>
      <c r="BT139" s="63"/>
      <c r="BU139" s="63"/>
      <c r="BV139" s="63"/>
      <c r="BW139" s="63"/>
      <c r="BX139" s="63"/>
      <c r="BY139" s="63"/>
      <c r="BZ139" s="63"/>
      <c r="CA139" s="63"/>
      <c r="CB139" s="63"/>
      <c r="CC139" s="63"/>
      <c r="CD139" s="63"/>
      <c r="CE139" s="63"/>
      <c r="CF139" s="63"/>
      <c r="CG139" s="63"/>
      <c r="CH139" s="63"/>
      <c r="CI139" s="63"/>
      <c r="CJ139" s="63"/>
      <c r="CK139" s="63"/>
      <c r="CL139" s="63"/>
      <c r="CM139" s="63"/>
      <c r="CN139" s="69"/>
      <c r="CO139" s="63"/>
      <c r="CP139" s="64"/>
      <c r="CQ139" s="63"/>
    </row>
    <row customHeight="true" ht="17" r="140">
      <c r="A140" s="65"/>
      <c r="B140" s="66"/>
      <c r="C140" s="66"/>
      <c r="D140" s="66"/>
      <c r="E140" s="66"/>
      <c r="F140" s="63"/>
      <c r="G140" s="63"/>
      <c r="H140" s="67"/>
      <c r="I140" s="68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  <c r="BI140" s="63"/>
      <c r="BJ140" s="63"/>
      <c r="BK140" s="63"/>
      <c r="BL140" s="63"/>
      <c r="BM140" s="63"/>
      <c r="BN140" s="63"/>
      <c r="BO140" s="63"/>
      <c r="BP140" s="63"/>
      <c r="BQ140" s="63"/>
      <c r="BR140" s="63"/>
      <c r="BS140" s="63"/>
      <c r="BT140" s="63"/>
      <c r="BU140" s="63"/>
      <c r="BV140" s="63"/>
      <c r="BW140" s="63"/>
      <c r="BX140" s="63"/>
      <c r="BY140" s="63"/>
      <c r="BZ140" s="63"/>
      <c r="CA140" s="63"/>
      <c r="CB140" s="63"/>
      <c r="CC140" s="63"/>
      <c r="CD140" s="63"/>
      <c r="CE140" s="63"/>
      <c r="CF140" s="63"/>
      <c r="CG140" s="63"/>
      <c r="CH140" s="63"/>
      <c r="CI140" s="63"/>
      <c r="CJ140" s="63"/>
      <c r="CK140" s="63"/>
      <c r="CL140" s="63"/>
      <c r="CM140" s="63"/>
      <c r="CN140" s="69"/>
      <c r="CO140" s="63"/>
      <c r="CP140" s="64"/>
      <c r="CQ140" s="63"/>
    </row>
    <row customHeight="true" ht="17" r="141">
      <c r="A141" s="65"/>
      <c r="B141" s="66"/>
      <c r="C141" s="66"/>
      <c r="D141" s="66"/>
      <c r="E141" s="66"/>
      <c r="F141" s="63"/>
      <c r="G141" s="63"/>
      <c r="H141" s="67"/>
      <c r="I141" s="68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  <c r="BI141" s="63"/>
      <c r="BJ141" s="63"/>
      <c r="BK141" s="63"/>
      <c r="BL141" s="63"/>
      <c r="BM141" s="63"/>
      <c r="BN141" s="63"/>
      <c r="BO141" s="63"/>
      <c r="BP141" s="63"/>
      <c r="BQ141" s="63"/>
      <c r="BR141" s="63"/>
      <c r="BS141" s="63"/>
      <c r="BT141" s="63"/>
      <c r="BU141" s="63"/>
      <c r="BV141" s="63"/>
      <c r="BW141" s="63"/>
      <c r="BX141" s="63"/>
      <c r="BY141" s="63"/>
      <c r="BZ141" s="63"/>
      <c r="CA141" s="63"/>
      <c r="CB141" s="63"/>
      <c r="CC141" s="63"/>
      <c r="CD141" s="63"/>
      <c r="CE141" s="63"/>
      <c r="CF141" s="63"/>
      <c r="CG141" s="63"/>
      <c r="CH141" s="63"/>
      <c r="CI141" s="63"/>
      <c r="CJ141" s="63"/>
      <c r="CK141" s="63"/>
      <c r="CL141" s="63"/>
      <c r="CM141" s="63"/>
      <c r="CN141" s="69"/>
      <c r="CO141" s="63"/>
      <c r="CP141" s="64"/>
      <c r="CQ141" s="63"/>
    </row>
    <row customHeight="true" ht="17" r="142">
      <c r="A142" s="65"/>
      <c r="B142" s="66"/>
      <c r="C142" s="66"/>
      <c r="D142" s="66"/>
      <c r="E142" s="66"/>
      <c r="F142" s="63"/>
      <c r="G142" s="63"/>
      <c r="H142" s="67"/>
      <c r="I142" s="68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  <c r="BI142" s="63"/>
      <c r="BJ142" s="63"/>
      <c r="BK142" s="63"/>
      <c r="BL142" s="63"/>
      <c r="BM142" s="63"/>
      <c r="BN142" s="63"/>
      <c r="BO142" s="63"/>
      <c r="BP142" s="63"/>
      <c r="BQ142" s="63"/>
      <c r="BR142" s="63"/>
      <c r="BS142" s="63"/>
      <c r="BT142" s="63"/>
      <c r="BU142" s="63"/>
      <c r="BV142" s="63"/>
      <c r="BW142" s="63"/>
      <c r="BX142" s="63"/>
      <c r="BY142" s="63"/>
      <c r="BZ142" s="63"/>
      <c r="CA142" s="63"/>
      <c r="CB142" s="63"/>
      <c r="CC142" s="63"/>
      <c r="CD142" s="63"/>
      <c r="CE142" s="63"/>
      <c r="CF142" s="63"/>
      <c r="CG142" s="63"/>
      <c r="CH142" s="63"/>
      <c r="CI142" s="63"/>
      <c r="CJ142" s="63"/>
      <c r="CK142" s="63"/>
      <c r="CL142" s="63"/>
      <c r="CM142" s="63"/>
      <c r="CN142" s="69"/>
      <c r="CO142" s="63"/>
      <c r="CP142" s="64"/>
      <c r="CQ142" s="63"/>
    </row>
    <row customHeight="true" ht="17" r="143">
      <c r="A143" s="65"/>
      <c r="B143" s="66"/>
      <c r="C143" s="66"/>
      <c r="D143" s="66"/>
      <c r="E143" s="66"/>
      <c r="F143" s="63"/>
      <c r="G143" s="63"/>
      <c r="H143" s="67"/>
      <c r="I143" s="68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  <c r="BI143" s="63"/>
      <c r="BJ143" s="63"/>
      <c r="BK143" s="63"/>
      <c r="BL143" s="63"/>
      <c r="BM143" s="63"/>
      <c r="BN143" s="63"/>
      <c r="BO143" s="63"/>
      <c r="BP143" s="63"/>
      <c r="BQ143" s="63"/>
      <c r="BR143" s="63"/>
      <c r="BS143" s="63"/>
      <c r="BT143" s="63"/>
      <c r="BU143" s="63"/>
      <c r="BV143" s="63"/>
      <c r="BW143" s="63"/>
      <c r="BX143" s="63"/>
      <c r="BY143" s="63"/>
      <c r="BZ143" s="63"/>
      <c r="CA143" s="63"/>
      <c r="CB143" s="63"/>
      <c r="CC143" s="63"/>
      <c r="CD143" s="63"/>
      <c r="CE143" s="63"/>
      <c r="CF143" s="63"/>
      <c r="CG143" s="63"/>
      <c r="CH143" s="63"/>
      <c r="CI143" s="63"/>
      <c r="CJ143" s="63"/>
      <c r="CK143" s="63"/>
      <c r="CL143" s="63"/>
      <c r="CM143" s="63"/>
      <c r="CN143" s="69"/>
      <c r="CO143" s="63"/>
      <c r="CP143" s="64"/>
      <c r="CQ143" s="63"/>
    </row>
    <row customHeight="true" ht="17" r="144">
      <c r="A144" s="65"/>
      <c r="B144" s="66"/>
      <c r="C144" s="66"/>
      <c r="D144" s="66"/>
      <c r="E144" s="66"/>
      <c r="F144" s="63"/>
      <c r="G144" s="63"/>
      <c r="H144" s="67"/>
      <c r="I144" s="68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  <c r="BI144" s="63"/>
      <c r="BJ144" s="63"/>
      <c r="BK144" s="63"/>
      <c r="BL144" s="63"/>
      <c r="BM144" s="63"/>
      <c r="BN144" s="63"/>
      <c r="BO144" s="63"/>
      <c r="BP144" s="63"/>
      <c r="BQ144" s="63"/>
      <c r="BR144" s="63"/>
      <c r="BS144" s="63"/>
      <c r="BT144" s="63"/>
      <c r="BU144" s="63"/>
      <c r="BV144" s="63"/>
      <c r="BW144" s="63"/>
      <c r="BX144" s="63"/>
      <c r="BY144" s="63"/>
      <c r="BZ144" s="63"/>
      <c r="CA144" s="63"/>
      <c r="CB144" s="63"/>
      <c r="CC144" s="63"/>
      <c r="CD144" s="63"/>
      <c r="CE144" s="63"/>
      <c r="CF144" s="63"/>
      <c r="CG144" s="63"/>
      <c r="CH144" s="63"/>
      <c r="CI144" s="63"/>
      <c r="CJ144" s="63"/>
      <c r="CK144" s="63"/>
      <c r="CL144" s="63"/>
      <c r="CM144" s="63"/>
      <c r="CN144" s="69"/>
      <c r="CO144" s="63"/>
      <c r="CP144" s="64"/>
      <c r="CQ144" s="63"/>
    </row>
    <row customHeight="true" ht="17" r="145">
      <c r="A145" s="65"/>
      <c r="B145" s="66"/>
      <c r="C145" s="66"/>
      <c r="D145" s="66"/>
      <c r="E145" s="66"/>
      <c r="F145" s="63"/>
      <c r="G145" s="63"/>
      <c r="H145" s="67"/>
      <c r="I145" s="68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  <c r="BI145" s="63"/>
      <c r="BJ145" s="63"/>
      <c r="BK145" s="63"/>
      <c r="BL145" s="63"/>
      <c r="BM145" s="63"/>
      <c r="BN145" s="63"/>
      <c r="BO145" s="63"/>
      <c r="BP145" s="63"/>
      <c r="BQ145" s="63"/>
      <c r="BR145" s="63"/>
      <c r="BS145" s="63"/>
      <c r="BT145" s="63"/>
      <c r="BU145" s="63"/>
      <c r="BV145" s="63"/>
      <c r="BW145" s="63"/>
      <c r="BX145" s="63"/>
      <c r="BY145" s="63"/>
      <c r="BZ145" s="63"/>
      <c r="CA145" s="63"/>
      <c r="CB145" s="63"/>
      <c r="CC145" s="63"/>
      <c r="CD145" s="63"/>
      <c r="CE145" s="63"/>
      <c r="CF145" s="63"/>
      <c r="CG145" s="63"/>
      <c r="CH145" s="63"/>
      <c r="CI145" s="63"/>
      <c r="CJ145" s="63"/>
      <c r="CK145" s="63"/>
      <c r="CL145" s="63"/>
      <c r="CM145" s="63"/>
      <c r="CN145" s="69"/>
      <c r="CO145" s="63"/>
      <c r="CP145" s="64"/>
      <c r="CQ145" s="63"/>
    </row>
    <row customHeight="true" ht="17" r="146">
      <c r="A146" s="65"/>
      <c r="B146" s="66"/>
      <c r="C146" s="66"/>
      <c r="D146" s="66"/>
      <c r="E146" s="66"/>
      <c r="F146" s="63"/>
      <c r="G146" s="63"/>
      <c r="H146" s="67"/>
      <c r="I146" s="68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  <c r="BI146" s="63"/>
      <c r="BJ146" s="63"/>
      <c r="BK146" s="63"/>
      <c r="BL146" s="63"/>
      <c r="BM146" s="63"/>
      <c r="BN146" s="63"/>
      <c r="BO146" s="63"/>
      <c r="BP146" s="63"/>
      <c r="BQ146" s="63"/>
      <c r="BR146" s="63"/>
      <c r="BS146" s="63"/>
      <c r="BT146" s="63"/>
      <c r="BU146" s="63"/>
      <c r="BV146" s="63"/>
      <c r="BW146" s="63"/>
      <c r="BX146" s="63"/>
      <c r="BY146" s="63"/>
      <c r="BZ146" s="63"/>
      <c r="CA146" s="63"/>
      <c r="CB146" s="63"/>
      <c r="CC146" s="63"/>
      <c r="CD146" s="63"/>
      <c r="CE146" s="63"/>
      <c r="CF146" s="63"/>
      <c r="CG146" s="63"/>
      <c r="CH146" s="63"/>
      <c r="CI146" s="63"/>
      <c r="CJ146" s="63"/>
      <c r="CK146" s="63"/>
      <c r="CL146" s="63"/>
      <c r="CM146" s="63"/>
      <c r="CN146" s="69"/>
      <c r="CO146" s="63"/>
      <c r="CP146" s="64"/>
      <c r="CQ146" s="63"/>
    </row>
    <row customHeight="true" ht="17" r="147">
      <c r="A147" s="65"/>
      <c r="B147" s="66"/>
      <c r="C147" s="66"/>
      <c r="D147" s="66"/>
      <c r="E147" s="66"/>
      <c r="F147" s="63"/>
      <c r="G147" s="63"/>
      <c r="H147" s="67"/>
      <c r="I147" s="68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  <c r="BT147" s="63"/>
      <c r="BU147" s="63"/>
      <c r="BV147" s="63"/>
      <c r="BW147" s="63"/>
      <c r="BX147" s="63"/>
      <c r="BY147" s="63"/>
      <c r="BZ147" s="63"/>
      <c r="CA147" s="63"/>
      <c r="CB147" s="63"/>
      <c r="CC147" s="63"/>
      <c r="CD147" s="63"/>
      <c r="CE147" s="63"/>
      <c r="CF147" s="63"/>
      <c r="CG147" s="63"/>
      <c r="CH147" s="63"/>
      <c r="CI147" s="63"/>
      <c r="CJ147" s="63"/>
      <c r="CK147" s="63"/>
      <c r="CL147" s="63"/>
      <c r="CM147" s="63"/>
      <c r="CN147" s="69"/>
      <c r="CO147" s="63"/>
      <c r="CP147" s="64"/>
      <c r="CQ147" s="63"/>
    </row>
    <row customHeight="true" ht="17" r="148">
      <c r="A148" s="65"/>
      <c r="B148" s="66"/>
      <c r="C148" s="66"/>
      <c r="D148" s="66"/>
      <c r="E148" s="66"/>
      <c r="F148" s="63"/>
      <c r="G148" s="63"/>
      <c r="H148" s="67"/>
      <c r="I148" s="68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  <c r="CB148" s="63"/>
      <c r="CC148" s="63"/>
      <c r="CD148" s="63"/>
      <c r="CE148" s="63"/>
      <c r="CF148" s="63"/>
      <c r="CG148" s="63"/>
      <c r="CH148" s="63"/>
      <c r="CI148" s="63"/>
      <c r="CJ148" s="63"/>
      <c r="CK148" s="63"/>
      <c r="CL148" s="63"/>
      <c r="CM148" s="63"/>
      <c r="CN148" s="69"/>
      <c r="CO148" s="63"/>
      <c r="CP148" s="64"/>
      <c r="CQ148" s="63"/>
    </row>
    <row customHeight="true" ht="17" r="149">
      <c r="A149" s="65"/>
      <c r="B149" s="66"/>
      <c r="C149" s="66"/>
      <c r="D149" s="66"/>
      <c r="E149" s="66"/>
      <c r="F149" s="63"/>
      <c r="G149" s="63"/>
      <c r="H149" s="67"/>
      <c r="I149" s="68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  <c r="CB149" s="63"/>
      <c r="CC149" s="63"/>
      <c r="CD149" s="63"/>
      <c r="CE149" s="63"/>
      <c r="CF149" s="63"/>
      <c r="CG149" s="63"/>
      <c r="CH149" s="63"/>
      <c r="CI149" s="63"/>
      <c r="CJ149" s="63"/>
      <c r="CK149" s="63"/>
      <c r="CL149" s="63"/>
      <c r="CM149" s="63"/>
      <c r="CN149" s="69"/>
      <c r="CO149" s="63"/>
      <c r="CP149" s="64"/>
      <c r="CQ149" s="63"/>
    </row>
    <row customHeight="true" ht="17" r="150">
      <c r="A150" s="65"/>
      <c r="B150" s="66"/>
      <c r="C150" s="66"/>
      <c r="D150" s="66"/>
      <c r="E150" s="66"/>
      <c r="F150" s="63"/>
      <c r="G150" s="63"/>
      <c r="H150" s="67"/>
      <c r="I150" s="68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  <c r="CG150" s="63"/>
      <c r="CH150" s="63"/>
      <c r="CI150" s="63"/>
      <c r="CJ150" s="63"/>
      <c r="CK150" s="63"/>
      <c r="CL150" s="63"/>
      <c r="CM150" s="63"/>
      <c r="CN150" s="69"/>
      <c r="CO150" s="63"/>
      <c r="CP150" s="64"/>
      <c r="CQ150" s="63"/>
    </row>
    <row customHeight="true" ht="17" r="151">
      <c r="A151" s="65"/>
      <c r="B151" s="66"/>
      <c r="C151" s="66"/>
      <c r="D151" s="66"/>
      <c r="E151" s="66"/>
      <c r="F151" s="63"/>
      <c r="G151" s="63"/>
      <c r="H151" s="67"/>
      <c r="I151" s="68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  <c r="CB151" s="63"/>
      <c r="CC151" s="63"/>
      <c r="CD151" s="63"/>
      <c r="CE151" s="63"/>
      <c r="CF151" s="63"/>
      <c r="CG151" s="63"/>
      <c r="CH151" s="63"/>
      <c r="CI151" s="63"/>
      <c r="CJ151" s="63"/>
      <c r="CK151" s="63"/>
      <c r="CL151" s="63"/>
      <c r="CM151" s="63"/>
      <c r="CN151" s="69"/>
      <c r="CO151" s="63"/>
      <c r="CP151" s="64"/>
      <c r="CQ151" s="63"/>
    </row>
    <row customHeight="true" ht="17" r="152">
      <c r="A152" s="65"/>
      <c r="B152" s="66"/>
      <c r="C152" s="66"/>
      <c r="D152" s="66"/>
      <c r="E152" s="66"/>
      <c r="F152" s="63"/>
      <c r="G152" s="63"/>
      <c r="H152" s="67"/>
      <c r="I152" s="68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  <c r="CB152" s="63"/>
      <c r="CC152" s="63"/>
      <c r="CD152" s="63"/>
      <c r="CE152" s="63"/>
      <c r="CF152" s="63"/>
      <c r="CG152" s="63"/>
      <c r="CH152" s="63"/>
      <c r="CI152" s="63"/>
      <c r="CJ152" s="63"/>
      <c r="CK152" s="63"/>
      <c r="CL152" s="63"/>
      <c r="CM152" s="63"/>
      <c r="CN152" s="69"/>
      <c r="CO152" s="63"/>
      <c r="CP152" s="64"/>
      <c r="CQ152" s="63"/>
    </row>
    <row customHeight="true" ht="17" r="153">
      <c r="A153" s="65"/>
      <c r="B153" s="66"/>
      <c r="C153" s="66"/>
      <c r="D153" s="66"/>
      <c r="E153" s="66"/>
      <c r="F153" s="63"/>
      <c r="G153" s="63"/>
      <c r="H153" s="67"/>
      <c r="I153" s="68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  <c r="CB153" s="63"/>
      <c r="CC153" s="63"/>
      <c r="CD153" s="63"/>
      <c r="CE153" s="63"/>
      <c r="CF153" s="63"/>
      <c r="CG153" s="63"/>
      <c r="CH153" s="63"/>
      <c r="CI153" s="63"/>
      <c r="CJ153" s="63"/>
      <c r="CK153" s="63"/>
      <c r="CL153" s="63"/>
      <c r="CM153" s="63"/>
      <c r="CN153" s="69"/>
      <c r="CO153" s="63"/>
      <c r="CP153" s="64"/>
      <c r="CQ153" s="63"/>
    </row>
    <row customHeight="true" ht="17" r="154">
      <c r="A154" s="65"/>
      <c r="B154" s="66"/>
      <c r="C154" s="66"/>
      <c r="D154" s="66"/>
      <c r="E154" s="66"/>
      <c r="F154" s="63"/>
      <c r="G154" s="63"/>
      <c r="H154" s="67"/>
      <c r="I154" s="68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  <c r="CB154" s="63"/>
      <c r="CC154" s="63"/>
      <c r="CD154" s="63"/>
      <c r="CE154" s="63"/>
      <c r="CF154" s="63"/>
      <c r="CG154" s="63"/>
      <c r="CH154" s="63"/>
      <c r="CI154" s="63"/>
      <c r="CJ154" s="63"/>
      <c r="CK154" s="63"/>
      <c r="CL154" s="63"/>
      <c r="CM154" s="63"/>
      <c r="CN154" s="69"/>
      <c r="CO154" s="63"/>
      <c r="CP154" s="64"/>
      <c r="CQ154" s="63"/>
    </row>
    <row customHeight="true" ht="17" r="155">
      <c r="A155" s="65"/>
      <c r="B155" s="66"/>
      <c r="C155" s="66"/>
      <c r="D155" s="66"/>
      <c r="E155" s="66"/>
      <c r="F155" s="63"/>
      <c r="G155" s="63"/>
      <c r="H155" s="67"/>
      <c r="I155" s="68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  <c r="CB155" s="63"/>
      <c r="CC155" s="63"/>
      <c r="CD155" s="63"/>
      <c r="CE155" s="63"/>
      <c r="CF155" s="63"/>
      <c r="CG155" s="63"/>
      <c r="CH155" s="63"/>
      <c r="CI155" s="63"/>
      <c r="CJ155" s="63"/>
      <c r="CK155" s="63"/>
      <c r="CL155" s="63"/>
      <c r="CM155" s="63"/>
      <c r="CN155" s="69"/>
      <c r="CO155" s="63"/>
      <c r="CP155" s="64"/>
      <c r="CQ155" s="63"/>
    </row>
    <row customHeight="true" ht="17" r="156">
      <c r="A156" s="65"/>
      <c r="B156" s="66"/>
      <c r="C156" s="66"/>
      <c r="D156" s="66"/>
      <c r="E156" s="66"/>
      <c r="F156" s="63"/>
      <c r="G156" s="63"/>
      <c r="H156" s="67"/>
      <c r="I156" s="68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  <c r="BI156" s="63"/>
      <c r="BJ156" s="63"/>
      <c r="BK156" s="63"/>
      <c r="BL156" s="63"/>
      <c r="BM156" s="63"/>
      <c r="BN156" s="63"/>
      <c r="BO156" s="63"/>
      <c r="BP156" s="63"/>
      <c r="BQ156" s="63"/>
      <c r="BR156" s="63"/>
      <c r="BS156" s="63"/>
      <c r="BT156" s="63"/>
      <c r="BU156" s="63"/>
      <c r="BV156" s="63"/>
      <c r="BW156" s="63"/>
      <c r="BX156" s="63"/>
      <c r="BY156" s="63"/>
      <c r="BZ156" s="63"/>
      <c r="CA156" s="63"/>
      <c r="CB156" s="63"/>
      <c r="CC156" s="63"/>
      <c r="CD156" s="63"/>
      <c r="CE156" s="63"/>
      <c r="CF156" s="63"/>
      <c r="CG156" s="63"/>
      <c r="CH156" s="63"/>
      <c r="CI156" s="63"/>
      <c r="CJ156" s="63"/>
      <c r="CK156" s="63"/>
      <c r="CL156" s="63"/>
      <c r="CM156" s="63"/>
      <c r="CN156" s="69"/>
      <c r="CO156" s="63"/>
      <c r="CP156" s="64"/>
      <c r="CQ156" s="63"/>
    </row>
    <row customHeight="true" ht="17" r="157">
      <c r="A157" s="65"/>
      <c r="B157" s="66"/>
      <c r="C157" s="66"/>
      <c r="D157" s="66"/>
      <c r="E157" s="66"/>
      <c r="F157" s="63"/>
      <c r="G157" s="63"/>
      <c r="H157" s="67"/>
      <c r="I157" s="68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  <c r="BD157" s="63"/>
      <c r="BE157" s="63"/>
      <c r="BF157" s="63"/>
      <c r="BG157" s="63"/>
      <c r="BH157" s="63"/>
      <c r="BI157" s="63"/>
      <c r="BJ157" s="63"/>
      <c r="BK157" s="63"/>
      <c r="BL157" s="63"/>
      <c r="BM157" s="63"/>
      <c r="BN157" s="63"/>
      <c r="BO157" s="63"/>
      <c r="BP157" s="63"/>
      <c r="BQ157" s="63"/>
      <c r="BR157" s="63"/>
      <c r="BS157" s="63"/>
      <c r="BT157" s="63"/>
      <c r="BU157" s="63"/>
      <c r="BV157" s="63"/>
      <c r="BW157" s="63"/>
      <c r="BX157" s="63"/>
      <c r="BY157" s="63"/>
      <c r="BZ157" s="63"/>
      <c r="CA157" s="63"/>
      <c r="CB157" s="63"/>
      <c r="CC157" s="63"/>
      <c r="CD157" s="63"/>
      <c r="CE157" s="63"/>
      <c r="CF157" s="63"/>
      <c r="CG157" s="63"/>
      <c r="CH157" s="63"/>
      <c r="CI157" s="63"/>
      <c r="CJ157" s="63"/>
      <c r="CK157" s="63"/>
      <c r="CL157" s="63"/>
      <c r="CM157" s="63"/>
      <c r="CN157" s="69"/>
      <c r="CO157" s="63"/>
      <c r="CP157" s="64"/>
      <c r="CQ157" s="63"/>
    </row>
    <row customHeight="true" ht="17" r="158">
      <c r="A158" s="65"/>
      <c r="B158" s="66"/>
      <c r="C158" s="66"/>
      <c r="D158" s="66"/>
      <c r="E158" s="66"/>
      <c r="F158" s="63"/>
      <c r="G158" s="63"/>
      <c r="H158" s="67"/>
      <c r="I158" s="68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  <c r="BD158" s="63"/>
      <c r="BE158" s="63"/>
      <c r="BF158" s="63"/>
      <c r="BG158" s="63"/>
      <c r="BH158" s="63"/>
      <c r="BI158" s="63"/>
      <c r="BJ158" s="63"/>
      <c r="BK158" s="63"/>
      <c r="BL158" s="63"/>
      <c r="BM158" s="63"/>
      <c r="BN158" s="63"/>
      <c r="BO158" s="63"/>
      <c r="BP158" s="63"/>
      <c r="BQ158" s="63"/>
      <c r="BR158" s="63"/>
      <c r="BS158" s="63"/>
      <c r="BT158" s="63"/>
      <c r="BU158" s="63"/>
      <c r="BV158" s="63"/>
      <c r="BW158" s="63"/>
      <c r="BX158" s="63"/>
      <c r="BY158" s="63"/>
      <c r="BZ158" s="63"/>
      <c r="CA158" s="63"/>
      <c r="CB158" s="63"/>
      <c r="CC158" s="63"/>
      <c r="CD158" s="63"/>
      <c r="CE158" s="63"/>
      <c r="CF158" s="63"/>
      <c r="CG158" s="63"/>
      <c r="CH158" s="63"/>
      <c r="CI158" s="63"/>
      <c r="CJ158" s="63"/>
      <c r="CK158" s="63"/>
      <c r="CL158" s="63"/>
      <c r="CM158" s="63"/>
      <c r="CN158" s="69"/>
      <c r="CO158" s="63"/>
      <c r="CP158" s="64"/>
      <c r="CQ158" s="63"/>
    </row>
    <row customHeight="true" ht="17" r="159">
      <c r="A159" s="65"/>
      <c r="B159" s="66"/>
      <c r="C159" s="66"/>
      <c r="D159" s="66"/>
      <c r="E159" s="66"/>
      <c r="F159" s="63"/>
      <c r="G159" s="63"/>
      <c r="H159" s="67"/>
      <c r="I159" s="68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  <c r="BI159" s="63"/>
      <c r="BJ159" s="63"/>
      <c r="BK159" s="63"/>
      <c r="BL159" s="63"/>
      <c r="BM159" s="63"/>
      <c r="BN159" s="63"/>
      <c r="BO159" s="63"/>
      <c r="BP159" s="63"/>
      <c r="BQ159" s="63"/>
      <c r="BR159" s="63"/>
      <c r="BS159" s="63"/>
      <c r="BT159" s="63"/>
      <c r="BU159" s="63"/>
      <c r="BV159" s="63"/>
      <c r="BW159" s="63"/>
      <c r="BX159" s="63"/>
      <c r="BY159" s="63"/>
      <c r="BZ159" s="63"/>
      <c r="CA159" s="63"/>
      <c r="CB159" s="63"/>
      <c r="CC159" s="63"/>
      <c r="CD159" s="63"/>
      <c r="CE159" s="63"/>
      <c r="CF159" s="63"/>
      <c r="CG159" s="63"/>
      <c r="CH159" s="63"/>
      <c r="CI159" s="63"/>
      <c r="CJ159" s="63"/>
      <c r="CK159" s="63"/>
      <c r="CL159" s="63"/>
      <c r="CM159" s="63"/>
      <c r="CN159" s="69"/>
      <c r="CO159" s="63"/>
      <c r="CP159" s="64"/>
      <c r="CQ159" s="63"/>
    </row>
    <row customHeight="true" ht="17" r="160">
      <c r="A160" s="65"/>
      <c r="B160" s="66"/>
      <c r="C160" s="66"/>
      <c r="D160" s="66"/>
      <c r="E160" s="66"/>
      <c r="F160" s="63"/>
      <c r="G160" s="63"/>
      <c r="H160" s="67"/>
      <c r="I160" s="68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  <c r="BI160" s="63"/>
      <c r="BJ160" s="63"/>
      <c r="BK160" s="63"/>
      <c r="BL160" s="63"/>
      <c r="BM160" s="63"/>
      <c r="BN160" s="63"/>
      <c r="BO160" s="63"/>
      <c r="BP160" s="63"/>
      <c r="BQ160" s="63"/>
      <c r="BR160" s="63"/>
      <c r="BS160" s="63"/>
      <c r="BT160" s="63"/>
      <c r="BU160" s="63"/>
      <c r="BV160" s="63"/>
      <c r="BW160" s="63"/>
      <c r="BX160" s="63"/>
      <c r="BY160" s="63"/>
      <c r="BZ160" s="63"/>
      <c r="CA160" s="63"/>
      <c r="CB160" s="63"/>
      <c r="CC160" s="63"/>
      <c r="CD160" s="63"/>
      <c r="CE160" s="63"/>
      <c r="CF160" s="63"/>
      <c r="CG160" s="63"/>
      <c r="CH160" s="63"/>
      <c r="CI160" s="63"/>
      <c r="CJ160" s="63"/>
      <c r="CK160" s="63"/>
      <c r="CL160" s="63"/>
      <c r="CM160" s="63"/>
      <c r="CN160" s="69"/>
      <c r="CO160" s="63"/>
      <c r="CP160" s="64"/>
      <c r="CQ160" s="63"/>
    </row>
    <row customHeight="true" ht="17" r="161">
      <c r="A161" s="65"/>
      <c r="B161" s="66"/>
      <c r="C161" s="66"/>
      <c r="D161" s="66"/>
      <c r="E161" s="66"/>
      <c r="F161" s="63"/>
      <c r="G161" s="63"/>
      <c r="H161" s="67"/>
      <c r="I161" s="68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  <c r="BI161" s="63"/>
      <c r="BJ161" s="63"/>
      <c r="BK161" s="63"/>
      <c r="BL161" s="63"/>
      <c r="BM161" s="63"/>
      <c r="BN161" s="63"/>
      <c r="BO161" s="63"/>
      <c r="BP161" s="63"/>
      <c r="BQ161" s="63"/>
      <c r="BR161" s="63"/>
      <c r="BS161" s="63"/>
      <c r="BT161" s="63"/>
      <c r="BU161" s="63"/>
      <c r="BV161" s="63"/>
      <c r="BW161" s="63"/>
      <c r="BX161" s="63"/>
      <c r="BY161" s="63"/>
      <c r="BZ161" s="63"/>
      <c r="CA161" s="63"/>
      <c r="CB161" s="63"/>
      <c r="CC161" s="63"/>
      <c r="CD161" s="63"/>
      <c r="CE161" s="63"/>
      <c r="CF161" s="63"/>
      <c r="CG161" s="63"/>
      <c r="CH161" s="63"/>
      <c r="CI161" s="63"/>
      <c r="CJ161" s="63"/>
      <c r="CK161" s="63"/>
      <c r="CL161" s="63"/>
      <c r="CM161" s="63"/>
      <c r="CN161" s="69"/>
      <c r="CO161" s="63"/>
      <c r="CP161" s="64"/>
      <c r="CQ161" s="63"/>
    </row>
    <row customHeight="true" ht="17" r="162">
      <c r="A162" s="65"/>
      <c r="B162" s="66"/>
      <c r="C162" s="66"/>
      <c r="D162" s="66"/>
      <c r="E162" s="66"/>
      <c r="F162" s="63"/>
      <c r="G162" s="63"/>
      <c r="H162" s="67"/>
      <c r="I162" s="68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  <c r="BI162" s="63"/>
      <c r="BJ162" s="63"/>
      <c r="BK162" s="63"/>
      <c r="BL162" s="63"/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  <c r="CC162" s="63"/>
      <c r="CD162" s="63"/>
      <c r="CE162" s="63"/>
      <c r="CF162" s="63"/>
      <c r="CG162" s="63"/>
      <c r="CH162" s="63"/>
      <c r="CI162" s="63"/>
      <c r="CJ162" s="63"/>
      <c r="CK162" s="63"/>
      <c r="CL162" s="63"/>
      <c r="CM162" s="63"/>
      <c r="CN162" s="69"/>
      <c r="CO162" s="63"/>
      <c r="CP162" s="64"/>
      <c r="CQ162" s="63"/>
    </row>
    <row customHeight="true" ht="17" r="163">
      <c r="A163" s="65"/>
      <c r="B163" s="66"/>
      <c r="C163" s="66"/>
      <c r="D163" s="66"/>
      <c r="E163" s="66"/>
      <c r="F163" s="63"/>
      <c r="G163" s="63"/>
      <c r="H163" s="67"/>
      <c r="I163" s="68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  <c r="BK163" s="63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  <c r="CB163" s="63"/>
      <c r="CC163" s="63"/>
      <c r="CD163" s="63"/>
      <c r="CE163" s="63"/>
      <c r="CF163" s="63"/>
      <c r="CG163" s="63"/>
      <c r="CH163" s="63"/>
      <c r="CI163" s="63"/>
      <c r="CJ163" s="63"/>
      <c r="CK163" s="63"/>
      <c r="CL163" s="63"/>
      <c r="CM163" s="63"/>
      <c r="CN163" s="69"/>
      <c r="CO163" s="63"/>
      <c r="CP163" s="64"/>
      <c r="CQ163" s="63"/>
    </row>
    <row customHeight="true" ht="17" r="164">
      <c r="A164" s="65"/>
      <c r="B164" s="66"/>
      <c r="C164" s="66"/>
      <c r="D164" s="66"/>
      <c r="E164" s="66"/>
      <c r="F164" s="63"/>
      <c r="G164" s="63"/>
      <c r="H164" s="67"/>
      <c r="I164" s="68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  <c r="BI164" s="63"/>
      <c r="BJ164" s="63"/>
      <c r="BK164" s="63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  <c r="CB164" s="63"/>
      <c r="CC164" s="63"/>
      <c r="CD164" s="63"/>
      <c r="CE164" s="63"/>
      <c r="CF164" s="63"/>
      <c r="CG164" s="63"/>
      <c r="CH164" s="63"/>
      <c r="CI164" s="63"/>
      <c r="CJ164" s="63"/>
      <c r="CK164" s="63"/>
      <c r="CL164" s="63"/>
      <c r="CM164" s="63"/>
      <c r="CN164" s="69"/>
      <c r="CO164" s="63"/>
      <c r="CP164" s="64"/>
      <c r="CQ164" s="63"/>
    </row>
    <row customHeight="true" ht="17" r="165">
      <c r="A165" s="65"/>
      <c r="B165" s="66"/>
      <c r="C165" s="66"/>
      <c r="D165" s="66"/>
      <c r="E165" s="66"/>
      <c r="F165" s="63"/>
      <c r="G165" s="63"/>
      <c r="H165" s="67"/>
      <c r="I165" s="68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  <c r="BD165" s="63"/>
      <c r="BE165" s="63"/>
      <c r="BF165" s="63"/>
      <c r="BG165" s="63"/>
      <c r="BH165" s="63"/>
      <c r="BI165" s="63"/>
      <c r="BJ165" s="63"/>
      <c r="BK165" s="63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  <c r="CA165" s="63"/>
      <c r="CB165" s="63"/>
      <c r="CC165" s="63"/>
      <c r="CD165" s="63"/>
      <c r="CE165" s="63"/>
      <c r="CF165" s="63"/>
      <c r="CG165" s="63"/>
      <c r="CH165" s="63"/>
      <c r="CI165" s="63"/>
      <c r="CJ165" s="63"/>
      <c r="CK165" s="63"/>
      <c r="CL165" s="63"/>
      <c r="CM165" s="63"/>
      <c r="CN165" s="69"/>
      <c r="CO165" s="63"/>
      <c r="CP165" s="64"/>
      <c r="CQ165" s="63"/>
    </row>
    <row customHeight="true" ht="17" r="166">
      <c r="A166" s="65"/>
      <c r="B166" s="66"/>
      <c r="C166" s="66"/>
      <c r="D166" s="66"/>
      <c r="E166" s="66"/>
      <c r="F166" s="63"/>
      <c r="G166" s="63"/>
      <c r="H166" s="67"/>
      <c r="I166" s="68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63"/>
      <c r="BF166" s="63"/>
      <c r="BG166" s="63"/>
      <c r="BH166" s="63"/>
      <c r="BI166" s="63"/>
      <c r="BJ166" s="63"/>
      <c r="BK166" s="63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  <c r="CB166" s="63"/>
      <c r="CC166" s="63"/>
      <c r="CD166" s="63"/>
      <c r="CE166" s="63"/>
      <c r="CF166" s="63"/>
      <c r="CG166" s="63"/>
      <c r="CH166" s="63"/>
      <c r="CI166" s="63"/>
      <c r="CJ166" s="63"/>
      <c r="CK166" s="63"/>
      <c r="CL166" s="63"/>
      <c r="CM166" s="63"/>
      <c r="CN166" s="69"/>
      <c r="CO166" s="63"/>
      <c r="CP166" s="64"/>
      <c r="CQ166" s="63"/>
    </row>
    <row customHeight="true" ht="17" r="167">
      <c r="A167" s="65"/>
      <c r="B167" s="66"/>
      <c r="C167" s="66"/>
      <c r="D167" s="66"/>
      <c r="E167" s="66"/>
      <c r="F167" s="63"/>
      <c r="G167" s="63"/>
      <c r="H167" s="67"/>
      <c r="I167" s="68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  <c r="BD167" s="63"/>
      <c r="BE167" s="63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  <c r="CB167" s="63"/>
      <c r="CC167" s="63"/>
      <c r="CD167" s="63"/>
      <c r="CE167" s="63"/>
      <c r="CF167" s="63"/>
      <c r="CG167" s="63"/>
      <c r="CH167" s="63"/>
      <c r="CI167" s="63"/>
      <c r="CJ167" s="63"/>
      <c r="CK167" s="63"/>
      <c r="CL167" s="63"/>
      <c r="CM167" s="63"/>
      <c r="CN167" s="69"/>
      <c r="CO167" s="63"/>
      <c r="CP167" s="64"/>
      <c r="CQ167" s="63"/>
    </row>
    <row customHeight="true" ht="17" r="168">
      <c r="A168" s="65"/>
      <c r="B168" s="66"/>
      <c r="C168" s="66"/>
      <c r="D168" s="66"/>
      <c r="E168" s="66"/>
      <c r="F168" s="63"/>
      <c r="G168" s="63"/>
      <c r="H168" s="67"/>
      <c r="I168" s="68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  <c r="BT168" s="63"/>
      <c r="BU168" s="63"/>
      <c r="BV168" s="63"/>
      <c r="BW168" s="63"/>
      <c r="BX168" s="63"/>
      <c r="BY168" s="63"/>
      <c r="BZ168" s="63"/>
      <c r="CA168" s="63"/>
      <c r="CB168" s="63"/>
      <c r="CC168" s="63"/>
      <c r="CD168" s="63"/>
      <c r="CE168" s="63"/>
      <c r="CF168" s="63"/>
      <c r="CG168" s="63"/>
      <c r="CH168" s="63"/>
      <c r="CI168" s="63"/>
      <c r="CJ168" s="63"/>
      <c r="CK168" s="63"/>
      <c r="CL168" s="63"/>
      <c r="CM168" s="63"/>
      <c r="CN168" s="69"/>
      <c r="CO168" s="63"/>
      <c r="CP168" s="64"/>
      <c r="CQ168" s="63"/>
    </row>
    <row customHeight="true" ht="17" r="169">
      <c r="A169" s="65"/>
      <c r="B169" s="66"/>
      <c r="C169" s="66"/>
      <c r="D169" s="66"/>
      <c r="E169" s="66"/>
      <c r="F169" s="63"/>
      <c r="G169" s="63"/>
      <c r="H169" s="67"/>
      <c r="I169" s="68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  <c r="BT169" s="63"/>
      <c r="BU169" s="63"/>
      <c r="BV169" s="63"/>
      <c r="BW169" s="63"/>
      <c r="BX169" s="63"/>
      <c r="BY169" s="63"/>
      <c r="BZ169" s="63"/>
      <c r="CA169" s="63"/>
      <c r="CB169" s="63"/>
      <c r="CC169" s="63"/>
      <c r="CD169" s="63"/>
      <c r="CE169" s="63"/>
      <c r="CF169" s="63"/>
      <c r="CG169" s="63"/>
      <c r="CH169" s="63"/>
      <c r="CI169" s="63"/>
      <c r="CJ169" s="63"/>
      <c r="CK169" s="63"/>
      <c r="CL169" s="63"/>
      <c r="CM169" s="63"/>
      <c r="CN169" s="69"/>
      <c r="CO169" s="63"/>
      <c r="CP169" s="64"/>
      <c r="CQ169" s="63"/>
    </row>
    <row customHeight="true" ht="17" r="170">
      <c r="A170" s="65"/>
      <c r="B170" s="66"/>
      <c r="C170" s="66"/>
      <c r="D170" s="66"/>
      <c r="E170" s="66"/>
      <c r="F170" s="63"/>
      <c r="G170" s="63"/>
      <c r="H170" s="67"/>
      <c r="I170" s="68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  <c r="BT170" s="63"/>
      <c r="BU170" s="63"/>
      <c r="BV170" s="63"/>
      <c r="BW170" s="63"/>
      <c r="BX170" s="63"/>
      <c r="BY170" s="63"/>
      <c r="BZ170" s="63"/>
      <c r="CA170" s="63"/>
      <c r="CB170" s="63"/>
      <c r="CC170" s="63"/>
      <c r="CD170" s="63"/>
      <c r="CE170" s="63"/>
      <c r="CF170" s="63"/>
      <c r="CG170" s="63"/>
      <c r="CH170" s="63"/>
      <c r="CI170" s="63"/>
      <c r="CJ170" s="63"/>
      <c r="CK170" s="63"/>
      <c r="CL170" s="63"/>
      <c r="CM170" s="63"/>
      <c r="CN170" s="69"/>
      <c r="CO170" s="63"/>
      <c r="CP170" s="64"/>
      <c r="CQ170" s="63"/>
    </row>
    <row customHeight="true" ht="17" r="171">
      <c r="A171" s="65"/>
      <c r="B171" s="66"/>
      <c r="C171" s="66"/>
      <c r="D171" s="66"/>
      <c r="E171" s="66"/>
      <c r="F171" s="63"/>
      <c r="G171" s="63"/>
      <c r="H171" s="67"/>
      <c r="I171" s="68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  <c r="BT171" s="63"/>
      <c r="BU171" s="63"/>
      <c r="BV171" s="63"/>
      <c r="BW171" s="63"/>
      <c r="BX171" s="63"/>
      <c r="BY171" s="63"/>
      <c r="BZ171" s="63"/>
      <c r="CA171" s="63"/>
      <c r="CB171" s="63"/>
      <c r="CC171" s="63"/>
      <c r="CD171" s="63"/>
      <c r="CE171" s="63"/>
      <c r="CF171" s="63"/>
      <c r="CG171" s="63"/>
      <c r="CH171" s="63"/>
      <c r="CI171" s="63"/>
      <c r="CJ171" s="63"/>
      <c r="CK171" s="63"/>
      <c r="CL171" s="63"/>
      <c r="CM171" s="63"/>
      <c r="CN171" s="69"/>
      <c r="CO171" s="63"/>
      <c r="CP171" s="64"/>
      <c r="CQ171" s="63"/>
    </row>
    <row customHeight="true" ht="17" r="172">
      <c r="A172" s="65"/>
      <c r="B172" s="66"/>
      <c r="C172" s="66"/>
      <c r="D172" s="66"/>
      <c r="E172" s="66"/>
      <c r="F172" s="63"/>
      <c r="G172" s="63"/>
      <c r="H172" s="67"/>
      <c r="I172" s="68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  <c r="BT172" s="63"/>
      <c r="BU172" s="63"/>
      <c r="BV172" s="63"/>
      <c r="BW172" s="63"/>
      <c r="BX172" s="63"/>
      <c r="BY172" s="63"/>
      <c r="BZ172" s="63"/>
      <c r="CA172" s="63"/>
      <c r="CB172" s="63"/>
      <c r="CC172" s="63"/>
      <c r="CD172" s="63"/>
      <c r="CE172" s="63"/>
      <c r="CF172" s="63"/>
      <c r="CG172" s="63"/>
      <c r="CH172" s="63"/>
      <c r="CI172" s="63"/>
      <c r="CJ172" s="63"/>
      <c r="CK172" s="63"/>
      <c r="CL172" s="63"/>
      <c r="CM172" s="63"/>
      <c r="CN172" s="69"/>
      <c r="CO172" s="63"/>
      <c r="CP172" s="64"/>
      <c r="CQ172" s="63"/>
    </row>
    <row customHeight="true" ht="17" r="173">
      <c r="A173" s="65"/>
      <c r="B173" s="66"/>
      <c r="C173" s="66"/>
      <c r="D173" s="66"/>
      <c r="E173" s="66"/>
      <c r="F173" s="63"/>
      <c r="G173" s="63"/>
      <c r="H173" s="67"/>
      <c r="I173" s="68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  <c r="BT173" s="63"/>
      <c r="BU173" s="63"/>
      <c r="BV173" s="63"/>
      <c r="BW173" s="63"/>
      <c r="BX173" s="63"/>
      <c r="BY173" s="63"/>
      <c r="BZ173" s="63"/>
      <c r="CA173" s="63"/>
      <c r="CB173" s="63"/>
      <c r="CC173" s="63"/>
      <c r="CD173" s="63"/>
      <c r="CE173" s="63"/>
      <c r="CF173" s="63"/>
      <c r="CG173" s="63"/>
      <c r="CH173" s="63"/>
      <c r="CI173" s="63"/>
      <c r="CJ173" s="63"/>
      <c r="CK173" s="63"/>
      <c r="CL173" s="63"/>
      <c r="CM173" s="63"/>
      <c r="CN173" s="69"/>
      <c r="CO173" s="63"/>
      <c r="CP173" s="64"/>
      <c r="CQ173" s="63"/>
    </row>
    <row customHeight="true" ht="17" r="174">
      <c r="A174" s="65"/>
      <c r="B174" s="66"/>
      <c r="C174" s="66"/>
      <c r="D174" s="66"/>
      <c r="E174" s="66"/>
      <c r="F174" s="63"/>
      <c r="G174" s="63"/>
      <c r="H174" s="67"/>
      <c r="I174" s="68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  <c r="BD174" s="63"/>
      <c r="BE174" s="63"/>
      <c r="BF174" s="63"/>
      <c r="BG174" s="63"/>
      <c r="BH174" s="63"/>
      <c r="BI174" s="63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  <c r="BT174" s="63"/>
      <c r="BU174" s="63"/>
      <c r="BV174" s="63"/>
      <c r="BW174" s="63"/>
      <c r="BX174" s="63"/>
      <c r="BY174" s="63"/>
      <c r="BZ174" s="63"/>
      <c r="CA174" s="63"/>
      <c r="CB174" s="63"/>
      <c r="CC174" s="63"/>
      <c r="CD174" s="63"/>
      <c r="CE174" s="63"/>
      <c r="CF174" s="63"/>
      <c r="CG174" s="63"/>
      <c r="CH174" s="63"/>
      <c r="CI174" s="63"/>
      <c r="CJ174" s="63"/>
      <c r="CK174" s="63"/>
      <c r="CL174" s="63"/>
      <c r="CM174" s="63"/>
      <c r="CN174" s="69"/>
      <c r="CO174" s="63"/>
      <c r="CP174" s="64"/>
      <c r="CQ174" s="63"/>
    </row>
    <row customHeight="true" ht="17" r="175">
      <c r="A175" s="65"/>
      <c r="B175" s="66"/>
      <c r="C175" s="66"/>
      <c r="D175" s="66"/>
      <c r="E175" s="66"/>
      <c r="F175" s="63"/>
      <c r="G175" s="63"/>
      <c r="H175" s="67"/>
      <c r="I175" s="68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  <c r="BT175" s="63"/>
      <c r="BU175" s="63"/>
      <c r="BV175" s="63"/>
      <c r="BW175" s="63"/>
      <c r="BX175" s="63"/>
      <c r="BY175" s="63"/>
      <c r="BZ175" s="63"/>
      <c r="CA175" s="63"/>
      <c r="CB175" s="63"/>
      <c r="CC175" s="63"/>
      <c r="CD175" s="63"/>
      <c r="CE175" s="63"/>
      <c r="CF175" s="63"/>
      <c r="CG175" s="63"/>
      <c r="CH175" s="63"/>
      <c r="CI175" s="63"/>
      <c r="CJ175" s="63"/>
      <c r="CK175" s="63"/>
      <c r="CL175" s="63"/>
      <c r="CM175" s="63"/>
      <c r="CN175" s="69"/>
      <c r="CO175" s="63"/>
      <c r="CP175" s="64"/>
      <c r="CQ175" s="63"/>
    </row>
    <row customHeight="true" ht="17" r="176">
      <c r="A176" s="65"/>
      <c r="B176" s="66"/>
      <c r="C176" s="66"/>
      <c r="D176" s="66"/>
      <c r="E176" s="66"/>
      <c r="F176" s="63"/>
      <c r="G176" s="63"/>
      <c r="H176" s="67"/>
      <c r="I176" s="68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  <c r="BT176" s="63"/>
      <c r="BU176" s="63"/>
      <c r="BV176" s="63"/>
      <c r="BW176" s="63"/>
      <c r="BX176" s="63"/>
      <c r="BY176" s="63"/>
      <c r="BZ176" s="63"/>
      <c r="CA176" s="63"/>
      <c r="CB176" s="63"/>
      <c r="CC176" s="63"/>
      <c r="CD176" s="63"/>
      <c r="CE176" s="63"/>
      <c r="CF176" s="63"/>
      <c r="CG176" s="63"/>
      <c r="CH176" s="63"/>
      <c r="CI176" s="63"/>
      <c r="CJ176" s="63"/>
      <c r="CK176" s="63"/>
      <c r="CL176" s="63"/>
      <c r="CM176" s="63"/>
      <c r="CN176" s="69"/>
      <c r="CO176" s="63"/>
      <c r="CP176" s="64"/>
      <c r="CQ176" s="63"/>
    </row>
    <row customHeight="true" ht="17" r="177">
      <c r="A177" s="65"/>
      <c r="B177" s="66"/>
      <c r="C177" s="66"/>
      <c r="D177" s="66"/>
      <c r="E177" s="66"/>
      <c r="F177" s="63"/>
      <c r="G177" s="63"/>
      <c r="H177" s="67"/>
      <c r="I177" s="68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  <c r="BI177" s="63"/>
      <c r="BJ177" s="63"/>
      <c r="BK177" s="63"/>
      <c r="BL177" s="63"/>
      <c r="BM177" s="63"/>
      <c r="BN177" s="63"/>
      <c r="BO177" s="63"/>
      <c r="BP177" s="63"/>
      <c r="BQ177" s="63"/>
      <c r="BR177" s="63"/>
      <c r="BS177" s="63"/>
      <c r="BT177" s="63"/>
      <c r="BU177" s="63"/>
      <c r="BV177" s="63"/>
      <c r="BW177" s="63"/>
      <c r="BX177" s="63"/>
      <c r="BY177" s="63"/>
      <c r="BZ177" s="63"/>
      <c r="CA177" s="63"/>
      <c r="CB177" s="63"/>
      <c r="CC177" s="63"/>
      <c r="CD177" s="63"/>
      <c r="CE177" s="63"/>
      <c r="CF177" s="63"/>
      <c r="CG177" s="63"/>
      <c r="CH177" s="63"/>
      <c r="CI177" s="63"/>
      <c r="CJ177" s="63"/>
      <c r="CK177" s="63"/>
      <c r="CL177" s="63"/>
      <c r="CM177" s="63"/>
      <c r="CN177" s="69"/>
      <c r="CO177" s="63"/>
      <c r="CP177" s="64"/>
      <c r="CQ177" s="63"/>
    </row>
    <row customHeight="true" ht="17" r="178">
      <c r="A178" s="65"/>
      <c r="B178" s="66"/>
      <c r="C178" s="66"/>
      <c r="D178" s="66"/>
      <c r="E178" s="66"/>
      <c r="F178" s="63"/>
      <c r="G178" s="63"/>
      <c r="H178" s="67"/>
      <c r="I178" s="68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  <c r="BT178" s="63"/>
      <c r="BU178" s="63"/>
      <c r="BV178" s="63"/>
      <c r="BW178" s="63"/>
      <c r="BX178" s="63"/>
      <c r="BY178" s="63"/>
      <c r="BZ178" s="63"/>
      <c r="CA178" s="63"/>
      <c r="CB178" s="63"/>
      <c r="CC178" s="63"/>
      <c r="CD178" s="63"/>
      <c r="CE178" s="63"/>
      <c r="CF178" s="63"/>
      <c r="CG178" s="63"/>
      <c r="CH178" s="63"/>
      <c r="CI178" s="63"/>
      <c r="CJ178" s="63"/>
      <c r="CK178" s="63"/>
      <c r="CL178" s="63"/>
      <c r="CM178" s="63"/>
      <c r="CN178" s="69"/>
      <c r="CO178" s="63"/>
      <c r="CP178" s="64"/>
      <c r="CQ178" s="63"/>
    </row>
    <row customHeight="true" ht="17" r="179">
      <c r="A179" s="65"/>
      <c r="B179" s="66"/>
      <c r="C179" s="66"/>
      <c r="D179" s="66"/>
      <c r="E179" s="66"/>
      <c r="F179" s="63"/>
      <c r="G179" s="63"/>
      <c r="H179" s="67"/>
      <c r="I179" s="68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63"/>
      <c r="BM179" s="63"/>
      <c r="BN179" s="63"/>
      <c r="BO179" s="63"/>
      <c r="BP179" s="63"/>
      <c r="BQ179" s="63"/>
      <c r="BR179" s="63"/>
      <c r="BS179" s="63"/>
      <c r="BT179" s="63"/>
      <c r="BU179" s="63"/>
      <c r="BV179" s="63"/>
      <c r="BW179" s="63"/>
      <c r="BX179" s="63"/>
      <c r="BY179" s="63"/>
      <c r="BZ179" s="63"/>
      <c r="CA179" s="63"/>
      <c r="CB179" s="63"/>
      <c r="CC179" s="63"/>
      <c r="CD179" s="63"/>
      <c r="CE179" s="63"/>
      <c r="CF179" s="63"/>
      <c r="CG179" s="63"/>
      <c r="CH179" s="63"/>
      <c r="CI179" s="63"/>
      <c r="CJ179" s="63"/>
      <c r="CK179" s="63"/>
      <c r="CL179" s="63"/>
      <c r="CM179" s="63"/>
      <c r="CN179" s="69"/>
      <c r="CO179" s="63"/>
      <c r="CP179" s="64"/>
      <c r="CQ179" s="63"/>
    </row>
    <row customHeight="true" ht="17" r="180">
      <c r="A180" s="65"/>
      <c r="B180" s="66"/>
      <c r="C180" s="66"/>
      <c r="D180" s="66"/>
      <c r="E180" s="66"/>
      <c r="F180" s="63"/>
      <c r="G180" s="63"/>
      <c r="H180" s="67"/>
      <c r="I180" s="68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  <c r="BT180" s="63"/>
      <c r="BU180" s="63"/>
      <c r="BV180" s="63"/>
      <c r="BW180" s="63"/>
      <c r="BX180" s="63"/>
      <c r="BY180" s="63"/>
      <c r="BZ180" s="63"/>
      <c r="CA180" s="63"/>
      <c r="CB180" s="63"/>
      <c r="CC180" s="63"/>
      <c r="CD180" s="63"/>
      <c r="CE180" s="63"/>
      <c r="CF180" s="63"/>
      <c r="CG180" s="63"/>
      <c r="CH180" s="63"/>
      <c r="CI180" s="63"/>
      <c r="CJ180" s="63"/>
      <c r="CK180" s="63"/>
      <c r="CL180" s="63"/>
      <c r="CM180" s="63"/>
      <c r="CN180" s="69"/>
      <c r="CO180" s="63"/>
      <c r="CP180" s="64"/>
      <c r="CQ180" s="63"/>
    </row>
    <row customHeight="true" ht="17" r="181">
      <c r="A181" s="65"/>
      <c r="B181" s="66"/>
      <c r="C181" s="66"/>
      <c r="D181" s="66"/>
      <c r="E181" s="66"/>
      <c r="F181" s="63"/>
      <c r="G181" s="63"/>
      <c r="H181" s="67"/>
      <c r="I181" s="68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63"/>
      <c r="BM181" s="63"/>
      <c r="BN181" s="63"/>
      <c r="BO181" s="63"/>
      <c r="BP181" s="63"/>
      <c r="BQ181" s="63"/>
      <c r="BR181" s="63"/>
      <c r="BS181" s="63"/>
      <c r="BT181" s="63"/>
      <c r="BU181" s="63"/>
      <c r="BV181" s="63"/>
      <c r="BW181" s="63"/>
      <c r="BX181" s="63"/>
      <c r="BY181" s="63"/>
      <c r="BZ181" s="63"/>
      <c r="CA181" s="63"/>
      <c r="CB181" s="63"/>
      <c r="CC181" s="63"/>
      <c r="CD181" s="63"/>
      <c r="CE181" s="63"/>
      <c r="CF181" s="63"/>
      <c r="CG181" s="63"/>
      <c r="CH181" s="63"/>
      <c r="CI181" s="63"/>
      <c r="CJ181" s="63"/>
      <c r="CK181" s="63"/>
      <c r="CL181" s="63"/>
      <c r="CM181" s="63"/>
      <c r="CN181" s="69"/>
      <c r="CO181" s="63"/>
      <c r="CP181" s="64"/>
      <c r="CQ181" s="63"/>
    </row>
    <row customHeight="true" ht="17" r="182">
      <c r="A182" s="65"/>
      <c r="B182" s="66"/>
      <c r="C182" s="66"/>
      <c r="D182" s="66"/>
      <c r="E182" s="66"/>
      <c r="F182" s="63"/>
      <c r="G182" s="63"/>
      <c r="H182" s="67"/>
      <c r="I182" s="68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63"/>
      <c r="BM182" s="63"/>
      <c r="BN182" s="63"/>
      <c r="BO182" s="63"/>
      <c r="BP182" s="63"/>
      <c r="BQ182" s="63"/>
      <c r="BR182" s="63"/>
      <c r="BS182" s="63"/>
      <c r="BT182" s="63"/>
      <c r="BU182" s="63"/>
      <c r="BV182" s="63"/>
      <c r="BW182" s="63"/>
      <c r="BX182" s="63"/>
      <c r="BY182" s="63"/>
      <c r="BZ182" s="63"/>
      <c r="CA182" s="63"/>
      <c r="CB182" s="63"/>
      <c r="CC182" s="63"/>
      <c r="CD182" s="63"/>
      <c r="CE182" s="63"/>
      <c r="CF182" s="63"/>
      <c r="CG182" s="63"/>
      <c r="CH182" s="63"/>
      <c r="CI182" s="63"/>
      <c r="CJ182" s="63"/>
      <c r="CK182" s="63"/>
      <c r="CL182" s="63"/>
      <c r="CM182" s="63"/>
      <c r="CN182" s="69"/>
      <c r="CO182" s="63"/>
      <c r="CP182" s="64"/>
      <c r="CQ182" s="63"/>
    </row>
    <row customHeight="true" ht="17" r="183">
      <c r="A183" s="65"/>
      <c r="B183" s="66"/>
      <c r="C183" s="66"/>
      <c r="D183" s="66"/>
      <c r="E183" s="66"/>
      <c r="F183" s="63"/>
      <c r="G183" s="63"/>
      <c r="H183" s="67"/>
      <c r="I183" s="68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63"/>
      <c r="BM183" s="63"/>
      <c r="BN183" s="63"/>
      <c r="BO183" s="63"/>
      <c r="BP183" s="63"/>
      <c r="BQ183" s="63"/>
      <c r="BR183" s="63"/>
      <c r="BS183" s="63"/>
      <c r="BT183" s="63"/>
      <c r="BU183" s="63"/>
      <c r="BV183" s="63"/>
      <c r="BW183" s="63"/>
      <c r="BX183" s="63"/>
      <c r="BY183" s="63"/>
      <c r="BZ183" s="63"/>
      <c r="CA183" s="63"/>
      <c r="CB183" s="63"/>
      <c r="CC183" s="63"/>
      <c r="CD183" s="63"/>
      <c r="CE183" s="63"/>
      <c r="CF183" s="63"/>
      <c r="CG183" s="63"/>
      <c r="CH183" s="63"/>
      <c r="CI183" s="63"/>
      <c r="CJ183" s="63"/>
      <c r="CK183" s="63"/>
      <c r="CL183" s="63"/>
      <c r="CM183" s="63"/>
      <c r="CN183" s="69"/>
      <c r="CO183" s="63"/>
      <c r="CP183" s="64"/>
      <c r="CQ183" s="63"/>
    </row>
    <row customHeight="true" ht="17" r="184">
      <c r="A184" s="65"/>
      <c r="B184" s="66"/>
      <c r="C184" s="66"/>
      <c r="D184" s="66"/>
      <c r="E184" s="66"/>
      <c r="F184" s="63"/>
      <c r="G184" s="63"/>
      <c r="H184" s="67"/>
      <c r="I184" s="68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63"/>
      <c r="BM184" s="63"/>
      <c r="BN184" s="63"/>
      <c r="BO184" s="63"/>
      <c r="BP184" s="63"/>
      <c r="BQ184" s="63"/>
      <c r="BR184" s="63"/>
      <c r="BS184" s="63"/>
      <c r="BT184" s="63"/>
      <c r="BU184" s="63"/>
      <c r="BV184" s="63"/>
      <c r="BW184" s="63"/>
      <c r="BX184" s="63"/>
      <c r="BY184" s="63"/>
      <c r="BZ184" s="63"/>
      <c r="CA184" s="63"/>
      <c r="CB184" s="63"/>
      <c r="CC184" s="63"/>
      <c r="CD184" s="63"/>
      <c r="CE184" s="63"/>
      <c r="CF184" s="63"/>
      <c r="CG184" s="63"/>
      <c r="CH184" s="63"/>
      <c r="CI184" s="63"/>
      <c r="CJ184" s="63"/>
      <c r="CK184" s="63"/>
      <c r="CL184" s="63"/>
      <c r="CM184" s="63"/>
      <c r="CN184" s="69"/>
      <c r="CO184" s="63"/>
      <c r="CP184" s="64"/>
      <c r="CQ184" s="63"/>
    </row>
    <row customHeight="true" ht="17" r="185">
      <c r="A185" s="65"/>
      <c r="B185" s="66"/>
      <c r="C185" s="66"/>
      <c r="D185" s="66"/>
      <c r="E185" s="66"/>
      <c r="F185" s="63"/>
      <c r="G185" s="63"/>
      <c r="H185" s="67"/>
      <c r="I185" s="68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63"/>
      <c r="BM185" s="63"/>
      <c r="BN185" s="63"/>
      <c r="BO185" s="63"/>
      <c r="BP185" s="63"/>
      <c r="BQ185" s="63"/>
      <c r="BR185" s="63"/>
      <c r="BS185" s="63"/>
      <c r="BT185" s="63"/>
      <c r="BU185" s="63"/>
      <c r="BV185" s="63"/>
      <c r="BW185" s="63"/>
      <c r="BX185" s="63"/>
      <c r="BY185" s="63"/>
      <c r="BZ185" s="63"/>
      <c r="CA185" s="63"/>
      <c r="CB185" s="63"/>
      <c r="CC185" s="63"/>
      <c r="CD185" s="63"/>
      <c r="CE185" s="63"/>
      <c r="CF185" s="63"/>
      <c r="CG185" s="63"/>
      <c r="CH185" s="63"/>
      <c r="CI185" s="63"/>
      <c r="CJ185" s="63"/>
      <c r="CK185" s="63"/>
      <c r="CL185" s="63"/>
      <c r="CM185" s="63"/>
      <c r="CN185" s="69"/>
      <c r="CO185" s="63"/>
      <c r="CP185" s="64"/>
      <c r="CQ185" s="63"/>
    </row>
    <row customHeight="true" ht="17" r="186">
      <c r="A186" s="65"/>
      <c r="B186" s="66"/>
      <c r="C186" s="66"/>
      <c r="D186" s="66"/>
      <c r="E186" s="66"/>
      <c r="F186" s="63"/>
      <c r="G186" s="63"/>
      <c r="H186" s="67"/>
      <c r="I186" s="68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63"/>
      <c r="BM186" s="63"/>
      <c r="BN186" s="63"/>
      <c r="BO186" s="63"/>
      <c r="BP186" s="63"/>
      <c r="BQ186" s="63"/>
      <c r="BR186" s="63"/>
      <c r="BS186" s="63"/>
      <c r="BT186" s="63"/>
      <c r="BU186" s="63"/>
      <c r="BV186" s="63"/>
      <c r="BW186" s="63"/>
      <c r="BX186" s="63"/>
      <c r="BY186" s="63"/>
      <c r="BZ186" s="63"/>
      <c r="CA186" s="63"/>
      <c r="CB186" s="63"/>
      <c r="CC186" s="63"/>
      <c r="CD186" s="63"/>
      <c r="CE186" s="63"/>
      <c r="CF186" s="63"/>
      <c r="CG186" s="63"/>
      <c r="CH186" s="63"/>
      <c r="CI186" s="63"/>
      <c r="CJ186" s="63"/>
      <c r="CK186" s="63"/>
      <c r="CL186" s="63"/>
      <c r="CM186" s="63"/>
      <c r="CN186" s="69"/>
      <c r="CO186" s="63"/>
      <c r="CP186" s="64"/>
      <c r="CQ186" s="63"/>
    </row>
    <row customHeight="true" ht="17" r="187">
      <c r="A187" s="65"/>
      <c r="B187" s="66"/>
      <c r="C187" s="66"/>
      <c r="D187" s="66"/>
      <c r="E187" s="66"/>
      <c r="F187" s="63"/>
      <c r="G187" s="63"/>
      <c r="H187" s="67"/>
      <c r="I187" s="68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3"/>
      <c r="BQ187" s="63"/>
      <c r="BR187" s="63"/>
      <c r="BS187" s="63"/>
      <c r="BT187" s="63"/>
      <c r="BU187" s="63"/>
      <c r="BV187" s="63"/>
      <c r="BW187" s="63"/>
      <c r="BX187" s="63"/>
      <c r="BY187" s="63"/>
      <c r="BZ187" s="63"/>
      <c r="CA187" s="63"/>
      <c r="CB187" s="63"/>
      <c r="CC187" s="63"/>
      <c r="CD187" s="63"/>
      <c r="CE187" s="63"/>
      <c r="CF187" s="63"/>
      <c r="CG187" s="63"/>
      <c r="CH187" s="63"/>
      <c r="CI187" s="63"/>
      <c r="CJ187" s="63"/>
      <c r="CK187" s="63"/>
      <c r="CL187" s="63"/>
      <c r="CM187" s="63"/>
      <c r="CN187" s="69"/>
      <c r="CO187" s="63"/>
      <c r="CP187" s="64"/>
      <c r="CQ187" s="63"/>
    </row>
    <row customHeight="true" ht="17" r="188">
      <c r="A188" s="65"/>
      <c r="B188" s="66"/>
      <c r="C188" s="66"/>
      <c r="D188" s="66"/>
      <c r="E188" s="66"/>
      <c r="F188" s="63"/>
      <c r="G188" s="63"/>
      <c r="H188" s="67"/>
      <c r="I188" s="68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  <c r="BD188" s="63"/>
      <c r="BE188" s="63"/>
      <c r="BF188" s="63"/>
      <c r="BG188" s="63"/>
      <c r="BH188" s="63"/>
      <c r="BI188" s="63"/>
      <c r="BJ188" s="63"/>
      <c r="BK188" s="63"/>
      <c r="BL188" s="63"/>
      <c r="BM188" s="63"/>
      <c r="BN188" s="63"/>
      <c r="BO188" s="63"/>
      <c r="BP188" s="63"/>
      <c r="BQ188" s="63"/>
      <c r="BR188" s="63"/>
      <c r="BS188" s="63"/>
      <c r="BT188" s="63"/>
      <c r="BU188" s="63"/>
      <c r="BV188" s="63"/>
      <c r="BW188" s="63"/>
      <c r="BX188" s="63"/>
      <c r="BY188" s="63"/>
      <c r="BZ188" s="63"/>
      <c r="CA188" s="63"/>
      <c r="CB188" s="63"/>
      <c r="CC188" s="63"/>
      <c r="CD188" s="63"/>
      <c r="CE188" s="63"/>
      <c r="CF188" s="63"/>
      <c r="CG188" s="63"/>
      <c r="CH188" s="63"/>
      <c r="CI188" s="63"/>
      <c r="CJ188" s="63"/>
      <c r="CK188" s="63"/>
      <c r="CL188" s="63"/>
      <c r="CM188" s="63"/>
      <c r="CN188" s="69"/>
      <c r="CO188" s="63"/>
      <c r="CP188" s="64"/>
      <c r="CQ188" s="63"/>
    </row>
    <row customHeight="true" ht="17" r="189">
      <c r="A189" s="65"/>
      <c r="B189" s="66"/>
      <c r="C189" s="66"/>
      <c r="D189" s="66"/>
      <c r="E189" s="66"/>
      <c r="F189" s="63"/>
      <c r="G189" s="63"/>
      <c r="H189" s="67"/>
      <c r="I189" s="68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63"/>
      <c r="BF189" s="63"/>
      <c r="BG189" s="63"/>
      <c r="BH189" s="63"/>
      <c r="BI189" s="63"/>
      <c r="BJ189" s="63"/>
      <c r="BK189" s="63"/>
      <c r="BL189" s="63"/>
      <c r="BM189" s="63"/>
      <c r="BN189" s="63"/>
      <c r="BO189" s="63"/>
      <c r="BP189" s="63"/>
      <c r="BQ189" s="63"/>
      <c r="BR189" s="63"/>
      <c r="BS189" s="63"/>
      <c r="BT189" s="63"/>
      <c r="BU189" s="63"/>
      <c r="BV189" s="63"/>
      <c r="BW189" s="63"/>
      <c r="BX189" s="63"/>
      <c r="BY189" s="63"/>
      <c r="BZ189" s="63"/>
      <c r="CA189" s="63"/>
      <c r="CB189" s="63"/>
      <c r="CC189" s="63"/>
      <c r="CD189" s="63"/>
      <c r="CE189" s="63"/>
      <c r="CF189" s="63"/>
      <c r="CG189" s="63"/>
      <c r="CH189" s="63"/>
      <c r="CI189" s="63"/>
      <c r="CJ189" s="63"/>
      <c r="CK189" s="63"/>
      <c r="CL189" s="63"/>
      <c r="CM189" s="63"/>
      <c r="CN189" s="69"/>
      <c r="CO189" s="63"/>
      <c r="CP189" s="64"/>
      <c r="CQ189" s="63"/>
    </row>
    <row customHeight="true" ht="17" r="190">
      <c r="A190" s="65"/>
      <c r="B190" s="66"/>
      <c r="C190" s="66"/>
      <c r="D190" s="66"/>
      <c r="E190" s="66"/>
      <c r="F190" s="63"/>
      <c r="G190" s="63"/>
      <c r="H190" s="67"/>
      <c r="I190" s="68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  <c r="BI190" s="63"/>
      <c r="BJ190" s="63"/>
      <c r="BK190" s="63"/>
      <c r="BL190" s="63"/>
      <c r="BM190" s="63"/>
      <c r="BN190" s="63"/>
      <c r="BO190" s="63"/>
      <c r="BP190" s="63"/>
      <c r="BQ190" s="63"/>
      <c r="BR190" s="63"/>
      <c r="BS190" s="63"/>
      <c r="BT190" s="63"/>
      <c r="BU190" s="63"/>
      <c r="BV190" s="63"/>
      <c r="BW190" s="63"/>
      <c r="BX190" s="63"/>
      <c r="BY190" s="63"/>
      <c r="BZ190" s="63"/>
      <c r="CA190" s="63"/>
      <c r="CB190" s="63"/>
      <c r="CC190" s="63"/>
      <c r="CD190" s="63"/>
      <c r="CE190" s="63"/>
      <c r="CF190" s="63"/>
      <c r="CG190" s="63"/>
      <c r="CH190" s="63"/>
      <c r="CI190" s="63"/>
      <c r="CJ190" s="63"/>
      <c r="CK190" s="63"/>
      <c r="CL190" s="63"/>
      <c r="CM190" s="63"/>
      <c r="CN190" s="69"/>
      <c r="CO190" s="63"/>
      <c r="CP190" s="64"/>
      <c r="CQ190" s="63"/>
    </row>
    <row customHeight="true" ht="17" r="191">
      <c r="A191" s="65"/>
      <c r="B191" s="66"/>
      <c r="C191" s="66"/>
      <c r="D191" s="66"/>
      <c r="E191" s="66"/>
      <c r="F191" s="63"/>
      <c r="G191" s="63"/>
      <c r="H191" s="67"/>
      <c r="I191" s="68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  <c r="BI191" s="63"/>
      <c r="BJ191" s="63"/>
      <c r="BK191" s="63"/>
      <c r="BL191" s="63"/>
      <c r="BM191" s="63"/>
      <c r="BN191" s="63"/>
      <c r="BO191" s="63"/>
      <c r="BP191" s="63"/>
      <c r="BQ191" s="63"/>
      <c r="BR191" s="63"/>
      <c r="BS191" s="63"/>
      <c r="BT191" s="63"/>
      <c r="BU191" s="63"/>
      <c r="BV191" s="63"/>
      <c r="BW191" s="63"/>
      <c r="BX191" s="63"/>
      <c r="BY191" s="63"/>
      <c r="BZ191" s="63"/>
      <c r="CA191" s="63"/>
      <c r="CB191" s="63"/>
      <c r="CC191" s="63"/>
      <c r="CD191" s="63"/>
      <c r="CE191" s="63"/>
      <c r="CF191" s="63"/>
      <c r="CG191" s="63"/>
      <c r="CH191" s="63"/>
      <c r="CI191" s="63"/>
      <c r="CJ191" s="63"/>
      <c r="CK191" s="63"/>
      <c r="CL191" s="63"/>
      <c r="CM191" s="63"/>
      <c r="CN191" s="69"/>
      <c r="CO191" s="63"/>
      <c r="CP191" s="64"/>
      <c r="CQ191" s="63"/>
    </row>
    <row customHeight="true" ht="17" r="192">
      <c r="A192" s="65"/>
      <c r="B192" s="66"/>
      <c r="C192" s="66"/>
      <c r="D192" s="66"/>
      <c r="E192" s="66"/>
      <c r="F192" s="63"/>
      <c r="G192" s="63"/>
      <c r="H192" s="67"/>
      <c r="I192" s="68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  <c r="BV192" s="63"/>
      <c r="BW192" s="63"/>
      <c r="BX192" s="63"/>
      <c r="BY192" s="63"/>
      <c r="BZ192" s="63"/>
      <c r="CA192" s="63"/>
      <c r="CB192" s="63"/>
      <c r="CC192" s="63"/>
      <c r="CD192" s="63"/>
      <c r="CE192" s="63"/>
      <c r="CF192" s="63"/>
      <c r="CG192" s="63"/>
      <c r="CH192" s="63"/>
      <c r="CI192" s="63"/>
      <c r="CJ192" s="63"/>
      <c r="CK192" s="63"/>
      <c r="CL192" s="63"/>
      <c r="CM192" s="63"/>
      <c r="CN192" s="69"/>
      <c r="CO192" s="63"/>
      <c r="CP192" s="64"/>
      <c r="CQ192" s="63"/>
    </row>
    <row customHeight="true" ht="17" r="193">
      <c r="A193" s="65"/>
      <c r="B193" s="66"/>
      <c r="C193" s="66"/>
      <c r="D193" s="66"/>
      <c r="E193" s="66"/>
      <c r="F193" s="63"/>
      <c r="G193" s="63"/>
      <c r="H193" s="67"/>
      <c r="I193" s="68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  <c r="BI193" s="63"/>
      <c r="BJ193" s="63"/>
      <c r="BK193" s="63"/>
      <c r="BL193" s="63"/>
      <c r="BM193" s="63"/>
      <c r="BN193" s="63"/>
      <c r="BO193" s="63"/>
      <c r="BP193" s="63"/>
      <c r="BQ193" s="63"/>
      <c r="BR193" s="63"/>
      <c r="BS193" s="63"/>
      <c r="BT193" s="63"/>
      <c r="BU193" s="63"/>
      <c r="BV193" s="63"/>
      <c r="BW193" s="63"/>
      <c r="BX193" s="63"/>
      <c r="BY193" s="63"/>
      <c r="BZ193" s="63"/>
      <c r="CA193" s="63"/>
      <c r="CB193" s="63"/>
      <c r="CC193" s="63"/>
      <c r="CD193" s="63"/>
      <c r="CE193" s="63"/>
      <c r="CF193" s="63"/>
      <c r="CG193" s="63"/>
      <c r="CH193" s="63"/>
      <c r="CI193" s="63"/>
      <c r="CJ193" s="63"/>
      <c r="CK193" s="63"/>
      <c r="CL193" s="63"/>
      <c r="CM193" s="63"/>
      <c r="CN193" s="69"/>
      <c r="CO193" s="63"/>
      <c r="CP193" s="64"/>
      <c r="CQ193" s="63"/>
    </row>
    <row customHeight="true" ht="17" r="194">
      <c r="A194" s="65"/>
      <c r="B194" s="66"/>
      <c r="C194" s="66"/>
      <c r="D194" s="66"/>
      <c r="E194" s="66"/>
      <c r="F194" s="63"/>
      <c r="G194" s="63"/>
      <c r="H194" s="67"/>
      <c r="I194" s="68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/>
      <c r="BJ194" s="63"/>
      <c r="BK194" s="63"/>
      <c r="BL194" s="63"/>
      <c r="BM194" s="63"/>
      <c r="BN194" s="63"/>
      <c r="BO194" s="63"/>
      <c r="BP194" s="63"/>
      <c r="BQ194" s="63"/>
      <c r="BR194" s="63"/>
      <c r="BS194" s="63"/>
      <c r="BT194" s="63"/>
      <c r="BU194" s="63"/>
      <c r="BV194" s="63"/>
      <c r="BW194" s="63"/>
      <c r="BX194" s="63"/>
      <c r="BY194" s="63"/>
      <c r="BZ194" s="63"/>
      <c r="CA194" s="63"/>
      <c r="CB194" s="63"/>
      <c r="CC194" s="63"/>
      <c r="CD194" s="63"/>
      <c r="CE194" s="63"/>
      <c r="CF194" s="63"/>
      <c r="CG194" s="63"/>
      <c r="CH194" s="63"/>
      <c r="CI194" s="63"/>
      <c r="CJ194" s="63"/>
      <c r="CK194" s="63"/>
      <c r="CL194" s="63"/>
      <c r="CM194" s="63"/>
      <c r="CN194" s="69"/>
      <c r="CO194" s="63"/>
      <c r="CP194" s="64"/>
      <c r="CQ194" s="63"/>
    </row>
    <row customHeight="true" ht="17" r="195">
      <c r="A195" s="65"/>
      <c r="B195" s="66"/>
      <c r="C195" s="66"/>
      <c r="D195" s="66"/>
      <c r="E195" s="66"/>
      <c r="F195" s="63"/>
      <c r="G195" s="63"/>
      <c r="H195" s="67"/>
      <c r="I195" s="68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  <c r="BI195" s="63"/>
      <c r="BJ195" s="63"/>
      <c r="BK195" s="63"/>
      <c r="BL195" s="63"/>
      <c r="BM195" s="63"/>
      <c r="BN195" s="63"/>
      <c r="BO195" s="63"/>
      <c r="BP195" s="63"/>
      <c r="BQ195" s="63"/>
      <c r="BR195" s="63"/>
      <c r="BS195" s="63"/>
      <c r="BT195" s="63"/>
      <c r="BU195" s="63"/>
      <c r="BV195" s="63"/>
      <c r="BW195" s="63"/>
      <c r="BX195" s="63"/>
      <c r="BY195" s="63"/>
      <c r="BZ195" s="63"/>
      <c r="CA195" s="63"/>
      <c r="CB195" s="63"/>
      <c r="CC195" s="63"/>
      <c r="CD195" s="63"/>
      <c r="CE195" s="63"/>
      <c r="CF195" s="63"/>
      <c r="CG195" s="63"/>
      <c r="CH195" s="63"/>
      <c r="CI195" s="63"/>
      <c r="CJ195" s="63"/>
      <c r="CK195" s="63"/>
      <c r="CL195" s="63"/>
      <c r="CM195" s="63"/>
      <c r="CN195" s="69"/>
      <c r="CO195" s="63"/>
      <c r="CP195" s="64"/>
      <c r="CQ195" s="63"/>
    </row>
    <row customHeight="true" ht="17" r="196">
      <c r="A196" s="65"/>
      <c r="B196" s="66"/>
      <c r="C196" s="66"/>
      <c r="D196" s="66"/>
      <c r="E196" s="66"/>
      <c r="F196" s="63"/>
      <c r="G196" s="63"/>
      <c r="H196" s="67"/>
      <c r="I196" s="68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  <c r="BD196" s="63"/>
      <c r="BE196" s="63"/>
      <c r="BF196" s="63"/>
      <c r="BG196" s="63"/>
      <c r="BH196" s="63"/>
      <c r="BI196" s="63"/>
      <c r="BJ196" s="63"/>
      <c r="BK196" s="63"/>
      <c r="BL196" s="63"/>
      <c r="BM196" s="63"/>
      <c r="BN196" s="63"/>
      <c r="BO196" s="63"/>
      <c r="BP196" s="63"/>
      <c r="BQ196" s="63"/>
      <c r="BR196" s="63"/>
      <c r="BS196" s="63"/>
      <c r="BT196" s="63"/>
      <c r="BU196" s="63"/>
      <c r="BV196" s="63"/>
      <c r="BW196" s="63"/>
      <c r="BX196" s="63"/>
      <c r="BY196" s="63"/>
      <c r="BZ196" s="63"/>
      <c r="CA196" s="63"/>
      <c r="CB196" s="63"/>
      <c r="CC196" s="63"/>
      <c r="CD196" s="63"/>
      <c r="CE196" s="63"/>
      <c r="CF196" s="63"/>
      <c r="CG196" s="63"/>
      <c r="CH196" s="63"/>
      <c r="CI196" s="63"/>
      <c r="CJ196" s="63"/>
      <c r="CK196" s="63"/>
      <c r="CL196" s="63"/>
      <c r="CM196" s="63"/>
      <c r="CN196" s="69"/>
      <c r="CO196" s="63"/>
      <c r="CP196" s="64"/>
      <c r="CQ196" s="63"/>
    </row>
    <row customHeight="true" ht="17" r="197">
      <c r="A197" s="65"/>
      <c r="B197" s="66"/>
      <c r="C197" s="66"/>
      <c r="D197" s="66"/>
      <c r="E197" s="66"/>
      <c r="F197" s="63"/>
      <c r="G197" s="63"/>
      <c r="H197" s="67"/>
      <c r="I197" s="68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63"/>
      <c r="BF197" s="63"/>
      <c r="BG197" s="63"/>
      <c r="BH197" s="63"/>
      <c r="BI197" s="63"/>
      <c r="BJ197" s="63"/>
      <c r="BK197" s="63"/>
      <c r="BL197" s="63"/>
      <c r="BM197" s="63"/>
      <c r="BN197" s="63"/>
      <c r="BO197" s="63"/>
      <c r="BP197" s="63"/>
      <c r="BQ197" s="63"/>
      <c r="BR197" s="63"/>
      <c r="BS197" s="63"/>
      <c r="BT197" s="63"/>
      <c r="BU197" s="63"/>
      <c r="BV197" s="63"/>
      <c r="BW197" s="63"/>
      <c r="BX197" s="63"/>
      <c r="BY197" s="63"/>
      <c r="BZ197" s="63"/>
      <c r="CA197" s="63"/>
      <c r="CB197" s="63"/>
      <c r="CC197" s="63"/>
      <c r="CD197" s="63"/>
      <c r="CE197" s="63"/>
      <c r="CF197" s="63"/>
      <c r="CG197" s="63"/>
      <c r="CH197" s="63"/>
      <c r="CI197" s="63"/>
      <c r="CJ197" s="63"/>
      <c r="CK197" s="63"/>
      <c r="CL197" s="63"/>
      <c r="CM197" s="63"/>
      <c r="CN197" s="69"/>
      <c r="CO197" s="63"/>
      <c r="CP197" s="64"/>
      <c r="CQ197" s="63"/>
    </row>
    <row customHeight="true" ht="17" r="198">
      <c r="A198" s="65"/>
      <c r="B198" s="66"/>
      <c r="C198" s="66"/>
      <c r="D198" s="66"/>
      <c r="E198" s="66"/>
      <c r="F198" s="63"/>
      <c r="G198" s="63"/>
      <c r="H198" s="67"/>
      <c r="I198" s="68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  <c r="BD198" s="63"/>
      <c r="BE198" s="63"/>
      <c r="BF198" s="63"/>
      <c r="BG198" s="63"/>
      <c r="BH198" s="63"/>
      <c r="BI198" s="63"/>
      <c r="BJ198" s="63"/>
      <c r="BK198" s="63"/>
      <c r="BL198" s="63"/>
      <c r="BM198" s="63"/>
      <c r="BN198" s="63"/>
      <c r="BO198" s="63"/>
      <c r="BP198" s="63"/>
      <c r="BQ198" s="63"/>
      <c r="BR198" s="63"/>
      <c r="BS198" s="63"/>
      <c r="BT198" s="63"/>
      <c r="BU198" s="63"/>
      <c r="BV198" s="63"/>
      <c r="BW198" s="63"/>
      <c r="BX198" s="63"/>
      <c r="BY198" s="63"/>
      <c r="BZ198" s="63"/>
      <c r="CA198" s="63"/>
      <c r="CB198" s="63"/>
      <c r="CC198" s="63"/>
      <c r="CD198" s="63"/>
      <c r="CE198" s="63"/>
      <c r="CF198" s="63"/>
      <c r="CG198" s="63"/>
      <c r="CH198" s="63"/>
      <c r="CI198" s="63"/>
      <c r="CJ198" s="63"/>
      <c r="CK198" s="63"/>
      <c r="CL198" s="63"/>
      <c r="CM198" s="63"/>
      <c r="CN198" s="69"/>
      <c r="CO198" s="63"/>
      <c r="CP198" s="64"/>
      <c r="CQ198" s="63"/>
    </row>
    <row customHeight="true" ht="17" r="199">
      <c r="A199" s="65"/>
      <c r="B199" s="66"/>
      <c r="C199" s="66"/>
      <c r="D199" s="66"/>
      <c r="E199" s="66"/>
      <c r="F199" s="63"/>
      <c r="G199" s="63"/>
      <c r="H199" s="67"/>
      <c r="I199" s="68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  <c r="BT199" s="63"/>
      <c r="BU199" s="63"/>
      <c r="BV199" s="63"/>
      <c r="BW199" s="63"/>
      <c r="BX199" s="63"/>
      <c r="BY199" s="63"/>
      <c r="BZ199" s="63"/>
      <c r="CA199" s="63"/>
      <c r="CB199" s="63"/>
      <c r="CC199" s="63"/>
      <c r="CD199" s="63"/>
      <c r="CE199" s="63"/>
      <c r="CF199" s="63"/>
      <c r="CG199" s="63"/>
      <c r="CH199" s="63"/>
      <c r="CI199" s="63"/>
      <c r="CJ199" s="63"/>
      <c r="CK199" s="63"/>
      <c r="CL199" s="63"/>
      <c r="CM199" s="63"/>
      <c r="CN199" s="69"/>
      <c r="CO199" s="63"/>
      <c r="CP199" s="64"/>
      <c r="CQ199" s="63"/>
    </row>
    <row customHeight="true" ht="17" r="200">
      <c r="A200" s="65"/>
      <c r="B200" s="66"/>
      <c r="C200" s="66"/>
      <c r="D200" s="66"/>
      <c r="E200" s="66"/>
      <c r="F200" s="63"/>
      <c r="G200" s="63"/>
      <c r="H200" s="67"/>
      <c r="I200" s="68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  <c r="BI200" s="63"/>
      <c r="BJ200" s="63"/>
      <c r="BK200" s="63"/>
      <c r="BL200" s="63"/>
      <c r="BM200" s="63"/>
      <c r="BN200" s="63"/>
      <c r="BO200" s="63"/>
      <c r="BP200" s="63"/>
      <c r="BQ200" s="63"/>
      <c r="BR200" s="63"/>
      <c r="BS200" s="63"/>
      <c r="BT200" s="63"/>
      <c r="BU200" s="63"/>
      <c r="BV200" s="63"/>
      <c r="BW200" s="63"/>
      <c r="BX200" s="63"/>
      <c r="BY200" s="63"/>
      <c r="BZ200" s="63"/>
      <c r="CA200" s="63"/>
      <c r="CB200" s="63"/>
      <c r="CC200" s="63"/>
      <c r="CD200" s="63"/>
      <c r="CE200" s="63"/>
      <c r="CF200" s="63"/>
      <c r="CG200" s="63"/>
      <c r="CH200" s="63"/>
      <c r="CI200" s="63"/>
      <c r="CJ200" s="63"/>
      <c r="CK200" s="63"/>
      <c r="CL200" s="63"/>
      <c r="CM200" s="63"/>
      <c r="CN200" s="69"/>
      <c r="CO200" s="63"/>
      <c r="CP200" s="64"/>
      <c r="CQ200" s="63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